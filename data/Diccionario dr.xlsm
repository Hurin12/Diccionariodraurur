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mc:AlternateContent xmlns:mc="http://schemas.openxmlformats.org/markup-compatibility/2006">
    <mc:Choice Requires="x15">
      <x15ac:absPath xmlns:x15ac="http://schemas.microsoft.com/office/spreadsheetml/2010/11/ac" url="https://universityofstandrews907-my.sharepoint.com/personal/asic1_st-andrews_ac_uk/Documents/Documents/transfer/transfer/Istais/"/>
    </mc:Choice>
  </mc:AlternateContent>
  <xr:revisionPtr revIDLastSave="1735" documentId="8_{78BE39D3-6B31-4E03-B4B8-95E7D792835E}" xr6:coauthVersionLast="47" xr6:coauthVersionMax="47" xr10:uidLastSave="{5BA4D26C-2443-4F51-B491-BFA038CEECA4}"/>
  <bookViews>
    <workbookView xWindow="-120" yWindow="-120" windowWidth="29040" windowHeight="15720" activeTab="2" xr2:uid="{35F308AF-9738-4B52-A1D5-59337C28EA03}"/>
  </bookViews>
  <sheets>
    <sheet name="Enciclopedia" sheetId="2" r:id="rId1"/>
    <sheet name="Diccionario" sheetId="1" r:id="rId2"/>
    <sheet name="Texts" sheetId="10" r:id="rId3"/>
    <sheet name="Etimología" sheetId="3" r:id="rId4"/>
    <sheet name="UI búsqueda" sheetId="8" r:id="rId5"/>
    <sheet name="UI búsqueda esp" sheetId="7" state="hidden" r:id="rId6"/>
    <sheet name="UI esp" sheetId="4" r:id="rId7"/>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 l="1"/>
  <c r="D145" i="1"/>
  <c r="D152" i="1"/>
  <c r="D149" i="1"/>
  <c r="D86" i="1"/>
  <c r="D125" i="1"/>
  <c r="D88" i="1"/>
  <c r="D120" i="1"/>
  <c r="D112" i="1"/>
  <c r="D236" i="1"/>
  <c r="D62" i="1"/>
  <c r="D195" i="1"/>
  <c r="D8" i="1"/>
  <c r="D226" i="1"/>
  <c r="D17" i="1"/>
  <c r="D217" i="1"/>
  <c r="D242" i="1"/>
  <c r="D243" i="1"/>
  <c r="D244" i="1"/>
  <c r="D245" i="1"/>
  <c r="D246" i="1"/>
  <c r="D247" i="1"/>
  <c r="D248" i="1"/>
  <c r="D249" i="1"/>
  <c r="D250" i="1"/>
  <c r="D251" i="1"/>
  <c r="D252" i="1"/>
  <c r="D253" i="1"/>
  <c r="D254" i="1"/>
  <c r="D255" i="1"/>
  <c r="D256" i="1"/>
  <c r="D257" i="1"/>
  <c r="D258" i="1"/>
  <c r="D259" i="1"/>
  <c r="D230" i="1"/>
  <c r="D201" i="1"/>
  <c r="D67" i="1"/>
  <c r="D31" i="1"/>
  <c r="D56" i="1"/>
  <c r="D89" i="1"/>
  <c r="D166" i="1"/>
  <c r="D167" i="1"/>
  <c r="D19" i="1"/>
  <c r="U5" i="1" a="1"/>
  <c r="U5" i="1" s="1"/>
  <c r="C20" i="8"/>
  <c r="E12" i="8"/>
  <c r="E16" i="8"/>
  <c r="C14" i="8"/>
  <c r="C10" i="8"/>
  <c r="D8" i="8"/>
  <c r="C8" i="8"/>
  <c r="C8" i="4"/>
  <c r="E12" i="4"/>
  <c r="D8" i="4"/>
  <c r="C20" i="4"/>
  <c r="E16" i="4"/>
  <c r="C10" i="4"/>
  <c r="C14" i="4"/>
  <c r="L8" i="2"/>
  <c r="L4" i="2"/>
  <c r="D100" i="1"/>
  <c r="D50" i="1"/>
  <c r="D130" i="1"/>
  <c r="D68" i="1"/>
  <c r="D108" i="1"/>
  <c r="D173" i="1"/>
  <c r="D12" i="1"/>
  <c r="D93" i="1"/>
  <c r="D180" i="1"/>
  <c r="D158" i="1"/>
  <c r="D48" i="1"/>
  <c r="D234" i="1"/>
  <c r="D11" i="1"/>
  <c r="D113" i="1"/>
  <c r="D26" i="1"/>
  <c r="D238" i="1"/>
  <c r="D239" i="1"/>
  <c r="D233" i="1"/>
  <c r="D182" i="1"/>
  <c r="D128" i="1"/>
  <c r="D184" i="1"/>
  <c r="D63" i="1"/>
  <c r="D179" i="1"/>
  <c r="D109" i="1"/>
  <c r="D210" i="1"/>
  <c r="D148" i="1"/>
  <c r="D10" i="1"/>
  <c r="D151" i="1"/>
  <c r="D74" i="1"/>
  <c r="D156" i="1"/>
  <c r="D138" i="1"/>
  <c r="D237" i="1"/>
  <c r="D78" i="1"/>
  <c r="D140" i="1"/>
  <c r="D185" i="1"/>
  <c r="D175" i="1"/>
  <c r="D194" i="1"/>
  <c r="D231" i="1"/>
  <c r="D25" i="1"/>
  <c r="D123" i="1"/>
  <c r="D181" i="1"/>
  <c r="D176" i="1"/>
  <c r="D136" i="1"/>
  <c r="D27" i="1"/>
  <c r="D178" i="1"/>
  <c r="D197" i="1"/>
  <c r="D87" i="1"/>
  <c r="D207" i="1"/>
  <c r="D76" i="1"/>
  <c r="D84" i="1"/>
  <c r="D133" i="1"/>
  <c r="D71" i="1"/>
  <c r="D126" i="1"/>
  <c r="D139" i="1"/>
  <c r="D29" i="1"/>
  <c r="D121" i="1"/>
  <c r="D49" i="1"/>
  <c r="D107" i="1"/>
  <c r="D46" i="1"/>
  <c r="D66" i="1"/>
  <c r="D142" i="1"/>
  <c r="D196" i="1"/>
  <c r="D40" i="1"/>
  <c r="D41" i="1"/>
  <c r="D116" i="1"/>
  <c r="D222" i="1"/>
  <c r="D23" i="1"/>
  <c r="D188" i="1"/>
  <c r="D103" i="1"/>
  <c r="D118" i="1"/>
  <c r="D97" i="1"/>
  <c r="D223" i="1"/>
  <c r="D119" i="1"/>
  <c r="D225" i="1"/>
  <c r="D198" i="1"/>
  <c r="D51" i="1"/>
  <c r="D199" i="1"/>
  <c r="D134" i="1"/>
  <c r="D54" i="1"/>
  <c r="D141" i="1"/>
  <c r="D160" i="1"/>
  <c r="D98" i="1"/>
  <c r="D13" i="1"/>
  <c r="D127" i="1"/>
  <c r="D220" i="1"/>
  <c r="D186" i="1"/>
  <c r="D150" i="1"/>
  <c r="D174" i="1"/>
  <c r="D147" i="1"/>
  <c r="D111" i="1"/>
  <c r="D44" i="1"/>
  <c r="D99" i="1"/>
  <c r="D211" i="1"/>
  <c r="D59" i="1"/>
  <c r="D38" i="1"/>
  <c r="D85" i="1"/>
  <c r="D157" i="1"/>
  <c r="D216" i="1"/>
  <c r="D122" i="1"/>
  <c r="D70" i="1"/>
  <c r="D124" i="1"/>
  <c r="D131" i="1"/>
  <c r="D132" i="1"/>
  <c r="D144" i="1"/>
  <c r="D164" i="1"/>
  <c r="D159" i="1"/>
  <c r="D52" i="1"/>
  <c r="D106" i="1"/>
  <c r="D64" i="1"/>
  <c r="D102" i="1"/>
  <c r="D209" i="1"/>
  <c r="D65" i="1"/>
  <c r="D228" i="1"/>
  <c r="D43" i="1"/>
  <c r="D202" i="1"/>
  <c r="D82" i="1"/>
  <c r="D57" i="1"/>
  <c r="D21" i="1"/>
  <c r="D192" i="1"/>
  <c r="D229" i="1"/>
  <c r="D117" i="1"/>
  <c r="D33" i="1"/>
  <c r="D235" i="1"/>
  <c r="D137" i="1"/>
  <c r="D241" i="1"/>
  <c r="D96" i="1"/>
  <c r="D28" i="1"/>
  <c r="D55" i="1"/>
  <c r="D163" i="1"/>
  <c r="D204" i="1"/>
  <c r="D129" i="1"/>
  <c r="D105" i="1"/>
  <c r="D115" i="1"/>
  <c r="D187" i="1"/>
  <c r="D92" i="1"/>
  <c r="D58" i="1"/>
  <c r="D90" i="1"/>
  <c r="D208" i="1"/>
  <c r="D104" i="1"/>
  <c r="D193" i="1"/>
  <c r="D214" i="1"/>
  <c r="D215" i="1"/>
  <c r="D39" i="1"/>
  <c r="D77" i="1"/>
  <c r="D61" i="1"/>
  <c r="D172" i="1"/>
  <c r="D47" i="1"/>
  <c r="D73" i="1"/>
  <c r="D155" i="1"/>
  <c r="D45" i="1"/>
  <c r="D224" i="1"/>
  <c r="D203" i="1"/>
  <c r="D171" i="1"/>
  <c r="D206" i="1"/>
  <c r="D16" i="1"/>
  <c r="D34" i="1"/>
  <c r="D227" i="1"/>
  <c r="D191" i="1"/>
  <c r="D221" i="1"/>
  <c r="D110" i="1"/>
  <c r="D14" i="1"/>
  <c r="D15" i="1"/>
  <c r="D213" i="1"/>
  <c r="D75" i="1"/>
  <c r="D22" i="1"/>
  <c r="D91" i="1"/>
  <c r="D42" i="1"/>
  <c r="D177" i="1"/>
  <c r="D135" i="1"/>
  <c r="D53" i="1"/>
  <c r="D169" i="1"/>
  <c r="D143" i="1"/>
  <c r="D79" i="1"/>
  <c r="D165" i="1"/>
  <c r="D101" i="1"/>
  <c r="D168" i="1"/>
  <c r="D205" i="1"/>
  <c r="D232" i="1"/>
  <c r="D162" i="1"/>
  <c r="D189" i="1"/>
  <c r="D161" i="1"/>
  <c r="D154" i="1"/>
  <c r="D80" i="1"/>
  <c r="D35" i="1"/>
  <c r="D72" i="1"/>
  <c r="D24" i="1"/>
  <c r="D183" i="1"/>
  <c r="D114" i="1"/>
  <c r="D240" i="1"/>
  <c r="D218" i="1"/>
  <c r="D219" i="1"/>
  <c r="D95" i="1"/>
  <c r="D32" i="1"/>
  <c r="D9" i="1"/>
  <c r="D36" i="1"/>
  <c r="D20" i="1"/>
  <c r="D190" i="1"/>
  <c r="D94" i="1"/>
  <c r="D153" i="1"/>
  <c r="D146" i="1"/>
  <c r="D170" i="1"/>
  <c r="D69" i="1"/>
  <c r="D30" i="1"/>
  <c r="D212" i="1"/>
  <c r="D18" i="1"/>
  <c r="D83" i="1"/>
  <c r="D81" i="1"/>
  <c r="D60" i="1"/>
  <c r="D37" i="1"/>
  <c r="Y4" i="1" l="1" a="1"/>
  <c r="Y4" i="1" s="1"/>
  <c r="Y3" i="1" a="1"/>
  <c r="Y3" i="1" s="1"/>
  <c r="AA3" i="1" a="1"/>
  <c r="AA3" i="1" s="1"/>
  <c r="AA4" i="1" a="1"/>
  <c r="AA4" i="1" s="1"/>
  <c r="AC3" i="1" l="1" a="1"/>
  <c r="AC3" i="1" s="1"/>
  <c r="AC4" i="1" a="1"/>
  <c r="AC4"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<sst xmlns="http://schemas.openxmlformats.org/spreadsheetml/2006/main" count="1634" uniqueCount="1380">
  <si>
    <t>BUSCADOR ESP-DRA</t>
  </si>
  <si>
    <t>NOMBRES</t>
  </si>
  <si>
    <t>NOMBRES-DRA</t>
  </si>
  <si>
    <t>VERBOS</t>
  </si>
  <si>
    <t>VERBOS-DRA</t>
  </si>
  <si>
    <t>ADJETIVOS</t>
  </si>
  <si>
    <t>ADJ-DRA</t>
  </si>
  <si>
    <t>PREPOSICIONES</t>
  </si>
  <si>
    <t>PREP-DRA</t>
  </si>
  <si>
    <t>VOCABULARIO DRAURÍR</t>
  </si>
  <si>
    <t>salvaje</t>
  </si>
  <si>
    <t>sobre</t>
  </si>
  <si>
    <t>(trd.) = Draurír tardío</t>
  </si>
  <si>
    <t>pr.an.= proto-anidúrio</t>
  </si>
  <si>
    <t>palabras</t>
  </si>
  <si>
    <t>Nombres</t>
  </si>
  <si>
    <t>Etimología</t>
  </si>
  <si>
    <t>Verbos</t>
  </si>
  <si>
    <t>Traducción</t>
  </si>
  <si>
    <t>Adjetivos</t>
  </si>
  <si>
    <t>Preposiciones /conjugaciones</t>
  </si>
  <si>
    <t>Adverbios</t>
  </si>
  <si>
    <t>Aliéya</t>
  </si>
  <si>
    <t>Casa noble, mansión</t>
  </si>
  <si>
    <r>
      <t xml:space="preserve">(trd.) Posiblemente, derivado de </t>
    </r>
    <r>
      <rPr>
        <i/>
        <sz val="11"/>
        <color theme="1"/>
        <rFont val="Aptos Narrow"/>
        <family val="2"/>
        <scheme val="minor"/>
      </rPr>
      <t>allkhunis</t>
    </r>
    <r>
      <rPr>
        <sz val="11"/>
        <color theme="1"/>
        <rFont val="Aptos Narrow"/>
        <family val="2"/>
        <scheme val="minor"/>
      </rPr>
      <t>, heredero. Terminación -ií del genitivo evoluciona a -iéyí en s.VI, por lo que all+iéyi significa "del heredero."</t>
    </r>
  </si>
  <si>
    <t xml:space="preserve">1. Casa feudal con tierras y títulos nobiliarios, común a partir del Segundo Scyrarr. </t>
  </si>
  <si>
    <t>Padeden, padedin</t>
  </si>
  <si>
    <t>Abrazar, rodear</t>
  </si>
  <si>
    <t>Thúduvis, -a</t>
  </si>
  <si>
    <t>Antiguo, viejo</t>
  </si>
  <si>
    <t>aleí (+ac)</t>
  </si>
  <si>
    <t>Hasta</t>
  </si>
  <si>
    <t>Aví</t>
  </si>
  <si>
    <t>Así, de esta forma (thus)</t>
  </si>
  <si>
    <t>Alíthis</t>
  </si>
  <si>
    <t>Futuro</t>
  </si>
  <si>
    <t xml:space="preserve">(cla.) Del pr.an. "alith", futuro.  </t>
  </si>
  <si>
    <t xml:space="preserve">1. Futuro, aquello que aún no ha ocurrido. </t>
  </si>
  <si>
    <r>
      <t>1. Dra.VII.280 "</t>
    </r>
    <r>
      <rPr>
        <i/>
        <sz val="11"/>
        <color theme="1"/>
        <rFont val="Aptos Narrow"/>
        <family val="2"/>
        <scheme val="minor"/>
      </rPr>
      <t xml:space="preserve">hit </t>
    </r>
    <r>
      <rPr>
        <b/>
        <i/>
        <sz val="11"/>
        <color theme="1"/>
        <rFont val="Aptos Narrow"/>
        <family val="2"/>
        <scheme val="minor"/>
      </rPr>
      <t>alithit</t>
    </r>
    <r>
      <rPr>
        <i/>
        <sz val="11"/>
        <color theme="1"/>
        <rFont val="Aptos Narrow"/>
        <family val="2"/>
        <scheme val="minor"/>
      </rPr>
      <t xml:space="preserve"> hií alkeúr  dráurur</t>
    </r>
    <r>
      <rPr>
        <sz val="11"/>
        <color theme="1"/>
        <rFont val="Aptos Narrow"/>
        <family val="2"/>
        <scheme val="minor"/>
      </rPr>
      <t xml:space="preserve">" (el futuro del linaje dráur). </t>
    </r>
  </si>
  <si>
    <t>Zauren, zaurín</t>
  </si>
  <si>
    <t>Abrir, desenvainar</t>
  </si>
  <si>
    <t>Enkeis,-a</t>
  </si>
  <si>
    <t>Audaz</t>
  </si>
  <si>
    <t>-arr</t>
  </si>
  <si>
    <t xml:space="preserve">Excelente, grande en </t>
  </si>
  <si>
    <t>haí</t>
  </si>
  <si>
    <t>silenciosamente</t>
  </si>
  <si>
    <t>Alítoris</t>
  </si>
  <si>
    <t>Clarividencia</t>
  </si>
  <si>
    <t xml:space="preserve">(cla.) Del pr.an. "alith", futuro, y el marcador genitivo, -or-, de -ur.   </t>
  </si>
  <si>
    <t xml:space="preserve">1. Arte de prever el futuro. Comúnmente asociado al Karvun o a Nyrassil. 2. (Lit.) aquello que está en el futuro. Un objeto, evento… que no ha ocurrido aún y tiene que ocurrir.  </t>
  </si>
  <si>
    <t>Uhlen, uhlin</t>
  </si>
  <si>
    <t>Amar</t>
  </si>
  <si>
    <t>Sundris, -a</t>
  </si>
  <si>
    <t>Azul</t>
  </si>
  <si>
    <t>Atin</t>
  </si>
  <si>
    <t xml:space="preserve"> al principio</t>
  </si>
  <si>
    <t>Puor / uh</t>
  </si>
  <si>
    <t>Más / que</t>
  </si>
  <si>
    <t>Alkeois</t>
  </si>
  <si>
    <t>Linaje</t>
  </si>
  <si>
    <t>(cla.) De la raíz pr.an. "all" para hijo, y el diftongo -eo- que indica grupo, comunidad.</t>
  </si>
  <si>
    <t xml:space="preserve">1. Linaje, lit. comunidad de descendientes. Usado en referencia a familias o casas nobles. 2. Pedigrí, especialmente con caballos y ciertas aves, como cóndores.  </t>
  </si>
  <si>
    <t>Bedhríen, bedhrin</t>
  </si>
  <si>
    <t>Avergonzarse</t>
  </si>
  <si>
    <t>Hinis, -a</t>
  </si>
  <si>
    <t>Blanco</t>
  </si>
  <si>
    <t>Atvé (+ac)</t>
  </si>
  <si>
    <t>Por (causal)</t>
  </si>
  <si>
    <t>Pier</t>
  </si>
  <si>
    <t>Menos</t>
  </si>
  <si>
    <t>Alkethurr</t>
  </si>
  <si>
    <t>Descendiente</t>
  </si>
  <si>
    <t>(cla.)</t>
  </si>
  <si>
    <t>Ulien, uliín</t>
  </si>
  <si>
    <t>Bendecir</t>
  </si>
  <si>
    <t>Lashis, -a</t>
  </si>
  <si>
    <t>Brillante</t>
  </si>
  <si>
    <t>É (+ac)</t>
  </si>
  <si>
    <t>Fishí</t>
  </si>
  <si>
    <t>Por un instante, momentáneamente</t>
  </si>
  <si>
    <t>Allkhunis</t>
  </si>
  <si>
    <t>Heredero</t>
  </si>
  <si>
    <t>Irloren, irlin</t>
  </si>
  <si>
    <t>Cabalgar, montar</t>
  </si>
  <si>
    <t>Pritetis, -a</t>
  </si>
  <si>
    <t>Cavernoso, relativo a una cueva</t>
  </si>
  <si>
    <t>É (+dat)</t>
  </si>
  <si>
    <t>Para</t>
  </si>
  <si>
    <t>Eaíun</t>
  </si>
  <si>
    <t>Lejos</t>
  </si>
  <si>
    <t>Ana</t>
  </si>
  <si>
    <t>Ojo</t>
  </si>
  <si>
    <t>Vygien, vygiain</t>
  </si>
  <si>
    <t>Cantar</t>
  </si>
  <si>
    <t>Tharrímis</t>
  </si>
  <si>
    <t xml:space="preserve">Cuarto </t>
  </si>
  <si>
    <t>Hel-</t>
  </si>
  <si>
    <t>Híper-, super-</t>
  </si>
  <si>
    <t>emiún</t>
  </si>
  <si>
    <t>Desde lejos (éme + eaíun)</t>
  </si>
  <si>
    <t>Anhé</t>
  </si>
  <si>
    <t>Alma, identidad</t>
  </si>
  <si>
    <t>Oprraen, oprrain</t>
  </si>
  <si>
    <t>Cargar con, acarrear</t>
  </si>
  <si>
    <t>Khagavis, -a</t>
  </si>
  <si>
    <t>Cubierto, lleno</t>
  </si>
  <si>
    <t>Ist (+ac)</t>
  </si>
  <si>
    <t>Sobre</t>
  </si>
  <si>
    <t>Disní</t>
  </si>
  <si>
    <t>Realmente, por cierto, verdaderamente (hiperbólico)</t>
  </si>
  <si>
    <t>Anhuráith</t>
  </si>
  <si>
    <t>Extranjero, bárbaro, forastero, no-dráur</t>
  </si>
  <si>
    <t>Leédefen, leédefain</t>
  </si>
  <si>
    <t>Casarse (con un hombre)</t>
  </si>
  <si>
    <t>Tiriús</t>
  </si>
  <si>
    <t xml:space="preserve">Décimo </t>
  </si>
  <si>
    <t>Lest (+ac)</t>
  </si>
  <si>
    <t>Bajo</t>
  </si>
  <si>
    <t>Linagaí</t>
  </si>
  <si>
    <t>Libremente, por voluntad propia</t>
  </si>
  <si>
    <t>Ansolarris</t>
  </si>
  <si>
    <t>Palacio, castillo</t>
  </si>
  <si>
    <t>Hatedefen, hatedefain</t>
  </si>
  <si>
    <t>Casarse (con una mujer)</t>
  </si>
  <si>
    <t>Taris, -a</t>
  </si>
  <si>
    <t>Lyvr (+gen)</t>
  </si>
  <si>
    <t>Cada</t>
  </si>
  <si>
    <t>Relinagaí</t>
  </si>
  <si>
    <t>Por la fuerza, servilmente (con esclavos común)</t>
  </si>
  <si>
    <t>Ansolis</t>
  </si>
  <si>
    <t>Monumento, edificio</t>
  </si>
  <si>
    <r>
      <t xml:space="preserve">Pheukhen, </t>
    </r>
    <r>
      <rPr>
        <sz val="11"/>
        <color rgb="FFFF0000"/>
        <rFont val="Aptos Narrow"/>
        <family val="2"/>
        <scheme val="minor"/>
      </rPr>
      <t>phekhín</t>
    </r>
  </si>
  <si>
    <t>Combatir (en guerra, batalla)</t>
  </si>
  <si>
    <t>Nikhruris, -a</t>
  </si>
  <si>
    <t>Fuerte</t>
  </si>
  <si>
    <t>Mi (+ac)</t>
  </si>
  <si>
    <t>En</t>
  </si>
  <si>
    <t>Razerrí</t>
  </si>
  <si>
    <t>Valientemente, ferozmente</t>
  </si>
  <si>
    <t>Apía</t>
  </si>
  <si>
    <t>Ciudad</t>
  </si>
  <si>
    <t>Veifeden, veifedin</t>
  </si>
  <si>
    <t>Confesar, Arrepentirse</t>
  </si>
  <si>
    <t>Khavis, -a</t>
  </si>
  <si>
    <t>Grande, mucho</t>
  </si>
  <si>
    <t>ô</t>
  </si>
  <si>
    <t>Y</t>
  </si>
  <si>
    <t>Vinilí</t>
  </si>
  <si>
    <t>Desesperadamente</t>
  </si>
  <si>
    <t>Asha</t>
  </si>
  <si>
    <t>Victoria</t>
  </si>
  <si>
    <t>Uílinien, Uíliníin</t>
  </si>
  <si>
    <t>Conocer</t>
  </si>
  <si>
    <t>Skhyrarris (indecl.)</t>
  </si>
  <si>
    <t>Imperial</t>
  </si>
  <si>
    <t>Rá</t>
  </si>
  <si>
    <t>No</t>
  </si>
  <si>
    <t>Ashlé</t>
  </si>
  <si>
    <t>Aliento</t>
  </si>
  <si>
    <t>Adeuthen, adeuthin</t>
  </si>
  <si>
    <t>Contemplar, comprender</t>
  </si>
  <si>
    <t>Rítennis, -a</t>
  </si>
  <si>
    <t>Incauto</t>
  </si>
  <si>
    <t>Rí-</t>
  </si>
  <si>
    <t>In-, prefijo negativo de opuesto</t>
  </si>
  <si>
    <t>Astis</t>
  </si>
  <si>
    <t>Hombre</t>
  </si>
  <si>
    <t>Asikhen, asikhin</t>
  </si>
  <si>
    <t>Coronar, asignar</t>
  </si>
  <si>
    <t>Rídrivis, -a</t>
  </si>
  <si>
    <t>Inmaculado</t>
  </si>
  <si>
    <t xml:space="preserve">Vio- </t>
  </si>
  <si>
    <t>Des-, prefijo negativo de vacío</t>
  </si>
  <si>
    <t>Atrív</t>
  </si>
  <si>
    <t>Brazo</t>
  </si>
  <si>
    <t>Unen, uneín</t>
  </si>
  <si>
    <t>Crear, construir, esculpir</t>
  </si>
  <si>
    <t>Markhis, -a</t>
  </si>
  <si>
    <t>Listo</t>
  </si>
  <si>
    <t>Como, igual que</t>
  </si>
  <si>
    <t>Azdea</t>
  </si>
  <si>
    <t>Voz, grito</t>
  </si>
  <si>
    <t>Khiansolen</t>
  </si>
  <si>
    <t>Demoler, destruir</t>
  </si>
  <si>
    <t>Valabis, -a</t>
  </si>
  <si>
    <t>Loco</t>
  </si>
  <si>
    <t>Uíl (+dat) / (dat)</t>
  </si>
  <si>
    <t>Con</t>
  </si>
  <si>
    <t>Bakhor</t>
  </si>
  <si>
    <t>Yugo</t>
  </si>
  <si>
    <t>Hatonen, hatonin</t>
  </si>
  <si>
    <t>Ilnis</t>
  </si>
  <si>
    <t>Luminoso</t>
  </si>
  <si>
    <t>atlest</t>
  </si>
  <si>
    <t xml:space="preserve">Antes de </t>
  </si>
  <si>
    <t>Bedhría</t>
  </si>
  <si>
    <t>Verguenza</t>
  </si>
  <si>
    <t>Khrrríden, khrrrídín</t>
  </si>
  <si>
    <t>Enfurecerse, montar en cólera</t>
  </si>
  <si>
    <t>Omis, -a</t>
  </si>
  <si>
    <t>Negro</t>
  </si>
  <si>
    <t>Atta</t>
  </si>
  <si>
    <t>He aquí, Ecce, "behold"</t>
  </si>
  <si>
    <t>Burlivis</t>
  </si>
  <si>
    <t>Pastor</t>
  </si>
  <si>
    <t>Karmuthen, karmuthin</t>
  </si>
  <si>
    <t>Entrelazar, atar</t>
  </si>
  <si>
    <t>Thaithaithís</t>
  </si>
  <si>
    <t xml:space="preserve">Noveno  </t>
  </si>
  <si>
    <t>Hellpuor</t>
  </si>
  <si>
    <t>Más allá</t>
  </si>
  <si>
    <t>Cordis</t>
  </si>
  <si>
    <t>Libro</t>
  </si>
  <si>
    <t>Khúrnen, khúrnin</t>
  </si>
  <si>
    <t>Envidiar</t>
  </si>
  <si>
    <t>Thatitharrímis</t>
  </si>
  <si>
    <t xml:space="preserve">Octavo  </t>
  </si>
  <si>
    <t>émé (+ge)/ eí (+dat)</t>
  </si>
  <si>
    <t>Desde / hasta, a // ya… ya…</t>
  </si>
  <si>
    <t>Damsza</t>
  </si>
  <si>
    <t>Pesar, tristeza</t>
  </si>
  <si>
    <t>Tuvelen, tuvelin (dat)</t>
  </si>
  <si>
    <t>Esconder, cubrir</t>
  </si>
  <si>
    <t>Tuíris</t>
  </si>
  <si>
    <t xml:space="preserve">Primero </t>
  </si>
  <si>
    <t>Datis</t>
  </si>
  <si>
    <t>Cuerpo</t>
  </si>
  <si>
    <t>Azden, azdín</t>
  </si>
  <si>
    <t>Exigir, reclamar</t>
  </si>
  <si>
    <t>Thallímis</t>
  </si>
  <si>
    <t xml:space="preserve">Quinto </t>
  </si>
  <si>
    <t>Liith</t>
  </si>
  <si>
    <t>Pronombre impersonal</t>
  </si>
  <si>
    <t>Dea</t>
  </si>
  <si>
    <t>Palabra, Discurso</t>
  </si>
  <si>
    <t>Istálien, istalíin</t>
  </si>
  <si>
    <t>Habitar, colonizar</t>
  </si>
  <si>
    <t>Naris, -a</t>
  </si>
  <si>
    <t>Rojo</t>
  </si>
  <si>
    <t>Shi-</t>
  </si>
  <si>
    <t>re-, volver a hacer</t>
  </si>
  <si>
    <t>Degís</t>
  </si>
  <si>
    <t>Hermano</t>
  </si>
  <si>
    <t>Hablar, decir, proclamar</t>
  </si>
  <si>
    <t>Ulthur, -a</t>
  </si>
  <si>
    <t>Sagrado</t>
  </si>
  <si>
    <t>Raith</t>
  </si>
  <si>
    <t>Sueño</t>
  </si>
  <si>
    <t>Sín, siaín (+dat)</t>
  </si>
  <si>
    <t>Ir</t>
  </si>
  <si>
    <t>Segundo</t>
  </si>
  <si>
    <t>Ríll (+ac)</t>
  </si>
  <si>
    <t xml:space="preserve">Contra, delante de, opuesto, ante </t>
  </si>
  <si>
    <t>Demesha</t>
  </si>
  <si>
    <t>Marea</t>
  </si>
  <si>
    <t>Íanen, íain</t>
  </si>
  <si>
    <t>Llegar</t>
  </si>
  <si>
    <t>Thírnis</t>
  </si>
  <si>
    <t xml:space="preserve">Séptimo </t>
  </si>
  <si>
    <t>Ríll (+ge)</t>
  </si>
  <si>
    <t>Deultha</t>
  </si>
  <si>
    <t>Alfabeto, palabra sagrada</t>
  </si>
  <si>
    <t>Shauren, shaurín</t>
  </si>
  <si>
    <t>Luchar, pelear</t>
  </si>
  <si>
    <t>Thaithanímis</t>
  </si>
  <si>
    <t xml:space="preserve">Sexto </t>
  </si>
  <si>
    <t xml:space="preserve">É rié ven </t>
  </si>
  <si>
    <t xml:space="preserve"> tan, tanto</t>
  </si>
  <si>
    <t>Dién</t>
  </si>
  <si>
    <t>Mercado</t>
  </si>
  <si>
    <t>Hunren, hunrin</t>
  </si>
  <si>
    <t>Matar</t>
  </si>
  <si>
    <t>Haísis, -a</t>
  </si>
  <si>
    <t>Silencioso</t>
  </si>
  <si>
    <t>Oí (+gen)</t>
  </si>
  <si>
    <t>Por medio de (instrumento)</t>
  </si>
  <si>
    <t>Dinúa</t>
  </si>
  <si>
    <t>Dinero</t>
  </si>
  <si>
    <t>Ónden, ondin</t>
  </si>
  <si>
    <t>Morir</t>
  </si>
  <si>
    <t>Drívis, -a</t>
  </si>
  <si>
    <t>Sucio</t>
  </si>
  <si>
    <t>aleí (+dat)</t>
  </si>
  <si>
    <t>Cómo, de qué forma</t>
  </si>
  <si>
    <t>Dinyl</t>
  </si>
  <si>
    <t>Moneda</t>
  </si>
  <si>
    <t>Síleunen, sílin</t>
  </si>
  <si>
    <t>Navegar</t>
  </si>
  <si>
    <t>Tercero</t>
  </si>
  <si>
    <t>Ae / Shá</t>
  </si>
  <si>
    <t>Si / entonces</t>
  </si>
  <si>
    <t>Divré</t>
  </si>
  <si>
    <t>Lugar</t>
  </si>
  <si>
    <t>Vynelen, vynelain</t>
  </si>
  <si>
    <t>No está claro</t>
  </si>
  <si>
    <t>Aleíninis, -a</t>
  </si>
  <si>
    <t>Último</t>
  </si>
  <si>
    <t>Shá</t>
  </si>
  <si>
    <t>Por lo tanto, entonces</t>
  </si>
  <si>
    <t>Drárrá</t>
  </si>
  <si>
    <t>Virilidad, "hombría", cualidad propia masculina dráur</t>
  </si>
  <si>
    <t>Duvien, duvíin</t>
  </si>
  <si>
    <t>Olvidar</t>
  </si>
  <si>
    <t>Esmis, -a</t>
  </si>
  <si>
    <t>Verde</t>
  </si>
  <si>
    <t>Dráura</t>
  </si>
  <si>
    <t>Skhrryen, skhrryín</t>
  </si>
  <si>
    <t>Ordenar, comandar</t>
  </si>
  <si>
    <t>Tennis, -a</t>
  </si>
  <si>
    <t>Vigilante, cauto</t>
  </si>
  <si>
    <t>Drea</t>
  </si>
  <si>
    <t>Luna</t>
  </si>
  <si>
    <t>Fedraen, fedrín</t>
  </si>
  <si>
    <t>Orgullecerse de (+dat)</t>
  </si>
  <si>
    <t xml:space="preserve">Zanfetis, -a </t>
  </si>
  <si>
    <t>Cobarde, miedoso</t>
  </si>
  <si>
    <t>Duth</t>
  </si>
  <si>
    <t>Pez</t>
  </si>
  <si>
    <t>Venrien, venriín</t>
  </si>
  <si>
    <t>Parecer, asemejarse</t>
  </si>
  <si>
    <t xml:space="preserve">Razerris, -a </t>
  </si>
  <si>
    <t>Valiente, sin miedo</t>
  </si>
  <si>
    <t>Duvinurta</t>
  </si>
  <si>
    <t>Olvido</t>
  </si>
  <si>
    <t>Tiuten, tiutin</t>
  </si>
  <si>
    <t>Pasar, Acabarse, Terminar</t>
  </si>
  <si>
    <t xml:space="preserve">Rísegitis, -a </t>
  </si>
  <si>
    <t>Muerto</t>
  </si>
  <si>
    <t>Elbais</t>
  </si>
  <si>
    <t>Pueblo, país</t>
  </si>
  <si>
    <t>Karmen, karmin</t>
  </si>
  <si>
    <t>Pescar, capturar</t>
  </si>
  <si>
    <t>Fedretis, -a</t>
  </si>
  <si>
    <t>Élekhiris</t>
  </si>
  <si>
    <t>Vecino, compañero</t>
  </si>
  <si>
    <t>Narven, narvin</t>
  </si>
  <si>
    <t>Quemar</t>
  </si>
  <si>
    <t>drárraris, -a</t>
  </si>
  <si>
    <t>Masculino, fuerte</t>
  </si>
  <si>
    <t>Emba</t>
  </si>
  <si>
    <t>Bosque</t>
  </si>
  <si>
    <t>Shílinien, shíliníin</t>
  </si>
  <si>
    <t>Reconocer</t>
  </si>
  <si>
    <t>Hemberis, -a</t>
  </si>
  <si>
    <t>Salvaje, forestal</t>
  </si>
  <si>
    <t>Esza</t>
  </si>
  <si>
    <t>Lágrima</t>
  </si>
  <si>
    <t>Bannisen, bannisin</t>
  </si>
  <si>
    <t>Rendirse, capitular, perder</t>
  </si>
  <si>
    <t>Khurazis, -a</t>
  </si>
  <si>
    <t>Pérfido, malvado</t>
  </si>
  <si>
    <t>Faburtis</t>
  </si>
  <si>
    <t>Paso, pisada</t>
  </si>
  <si>
    <t>Erien, Eriein</t>
  </si>
  <si>
    <t>Responder</t>
  </si>
  <si>
    <t>virázzis, -a</t>
  </si>
  <si>
    <t>Serpentino, ofidio</t>
  </si>
  <si>
    <t>Fedréur</t>
  </si>
  <si>
    <t>Orgullo, honor</t>
  </si>
  <si>
    <t xml:space="preserve">Vithuvelen, vithulin </t>
  </si>
  <si>
    <t>Revelar, decir la verdad</t>
  </si>
  <si>
    <t>vinilis, -a</t>
  </si>
  <si>
    <t>Desesperado</t>
  </si>
  <si>
    <t>Fúr</t>
  </si>
  <si>
    <t xml:space="preserve">Lord, Señor, Conde </t>
  </si>
  <si>
    <t>Viníien, viníin</t>
  </si>
  <si>
    <t>Saber</t>
  </si>
  <si>
    <t>Vivithuvis, -a</t>
  </si>
  <si>
    <t>Impostor, falso, mentiroso</t>
  </si>
  <si>
    <t>Gag'goía</t>
  </si>
  <si>
    <t>Bruja</t>
  </si>
  <si>
    <t>Ven, vin</t>
  </si>
  <si>
    <t>Ser</t>
  </si>
  <si>
    <t>Gáis</t>
  </si>
  <si>
    <t>Pala de bronce; ceremonial</t>
  </si>
  <si>
    <t>Shishen, shishín</t>
  </si>
  <si>
    <t>Sonreír, reír</t>
  </si>
  <si>
    <t>Godrais</t>
  </si>
  <si>
    <t>Religión, culto</t>
  </si>
  <si>
    <t>Haide, haidi</t>
  </si>
  <si>
    <t>Susurrar, rumorear</t>
  </si>
  <si>
    <t>Haedea</t>
  </si>
  <si>
    <t>Esposa</t>
  </si>
  <si>
    <t>Éven, évin</t>
  </si>
  <si>
    <t>Tener, poseer</t>
  </si>
  <si>
    <t>Hais</t>
  </si>
  <si>
    <t>Silencio</t>
  </si>
  <si>
    <t>Fabaen, fabin</t>
  </si>
  <si>
    <t>Vagar, pasear, errar</t>
  </si>
  <si>
    <t>Hatonis</t>
  </si>
  <si>
    <t>Domador</t>
  </si>
  <si>
    <t>Ashen, ashín</t>
  </si>
  <si>
    <t>Vencer, ganar, conquistar</t>
  </si>
  <si>
    <t>Huna</t>
  </si>
  <si>
    <t>Espada</t>
  </si>
  <si>
    <t>Tirín, tin (irr.)</t>
  </si>
  <si>
    <t>Ver, distinguir</t>
  </si>
  <si>
    <t>Íanavis</t>
  </si>
  <si>
    <t>Llegada, aparición</t>
  </si>
  <si>
    <t>Berrlen, berrlin</t>
  </si>
  <si>
    <t>Verter, brotar</t>
  </si>
  <si>
    <t>Íatelis</t>
  </si>
  <si>
    <t>Día</t>
  </si>
  <si>
    <t>Níulen, níuliín</t>
  </si>
  <si>
    <t>Volar</t>
  </si>
  <si>
    <t>Ígois</t>
  </si>
  <si>
    <t>Lavanda</t>
  </si>
  <si>
    <t>Uj'jien, uj'jiín</t>
  </si>
  <si>
    <t xml:space="preserve">υβριζειν. Corromper, humillar, destruir con inquina. </t>
  </si>
  <si>
    <t>Zayen, zaiín</t>
  </si>
  <si>
    <t>Fallar, errar, no acertar</t>
  </si>
  <si>
    <t>Irlis</t>
  </si>
  <si>
    <t>Caballo</t>
  </si>
  <si>
    <t>Katarrithen, katarrithín</t>
  </si>
  <si>
    <t>Importar, considerar de importancia</t>
  </si>
  <si>
    <t>Irloris</t>
  </si>
  <si>
    <t>Jinete</t>
  </si>
  <si>
    <t>Alítoren, alítorin</t>
  </si>
  <si>
    <t>Predecir, augurar</t>
  </si>
  <si>
    <t>Istais</t>
  </si>
  <si>
    <t>Ciudad, pueblo</t>
  </si>
  <si>
    <t>Menaen, menín</t>
  </si>
  <si>
    <t>Esperar</t>
  </si>
  <si>
    <t>Istalis</t>
  </si>
  <si>
    <t>Habitante, colono</t>
  </si>
  <si>
    <t>Shifabaen, shifabín</t>
  </si>
  <si>
    <t>Regresar, volver</t>
  </si>
  <si>
    <t>Ithí</t>
  </si>
  <si>
    <t>Cima, punta, punta de lanza, también mitad del mes, pináculo</t>
  </si>
  <si>
    <t>Jasha</t>
  </si>
  <si>
    <t>Dama</t>
  </si>
  <si>
    <t xml:space="preserve">Jenn </t>
  </si>
  <si>
    <t>Madre</t>
  </si>
  <si>
    <t>Karmis</t>
  </si>
  <si>
    <t>Red de pescar</t>
  </si>
  <si>
    <t>Karvina</t>
  </si>
  <si>
    <t>Caza</t>
  </si>
  <si>
    <t>Karvun</t>
  </si>
  <si>
    <t>Cazador</t>
  </si>
  <si>
    <t>Katárra</t>
  </si>
  <si>
    <t>Importancia, autoridad</t>
  </si>
  <si>
    <t>Kham(a)</t>
  </si>
  <si>
    <t>Tormenta</t>
  </si>
  <si>
    <t>kharrenikhis</t>
  </si>
  <si>
    <t>Bellaco, canalla</t>
  </si>
  <si>
    <t>Khatrív</t>
  </si>
  <si>
    <t>Pierna</t>
  </si>
  <si>
    <t>Khavurtis</t>
  </si>
  <si>
    <t>Gigante</t>
  </si>
  <si>
    <t>Khemsza</t>
  </si>
  <si>
    <t>Inquietud, preocupación</t>
  </si>
  <si>
    <t>Kheratis</t>
  </si>
  <si>
    <t>Forja</t>
  </si>
  <si>
    <t>Khor</t>
  </si>
  <si>
    <t>Toro</t>
  </si>
  <si>
    <t>Khrrrí</t>
  </si>
  <si>
    <t>Ira, odio, cólera</t>
  </si>
  <si>
    <t>Khuréa</t>
  </si>
  <si>
    <t>Treta, engaño</t>
  </si>
  <si>
    <t>Kunn</t>
  </si>
  <si>
    <t>Rey</t>
  </si>
  <si>
    <t>Kunndour</t>
  </si>
  <si>
    <t>Cóndor</t>
  </si>
  <si>
    <t>Kúnnean</t>
  </si>
  <si>
    <t>Rey nevado (lobo)</t>
  </si>
  <si>
    <t>Kurdis</t>
  </si>
  <si>
    <t>Lobo</t>
  </si>
  <si>
    <t>Lándra</t>
  </si>
  <si>
    <t>Corazón</t>
  </si>
  <si>
    <t>Lash</t>
  </si>
  <si>
    <t>Luz</t>
  </si>
  <si>
    <t>Ledea</t>
  </si>
  <si>
    <t>Mujer</t>
  </si>
  <si>
    <t>Leidera</t>
  </si>
  <si>
    <t>Frontera, límite</t>
  </si>
  <si>
    <t>Leirridea</t>
  </si>
  <si>
    <t>Amante</t>
  </si>
  <si>
    <t>Línagis</t>
  </si>
  <si>
    <t>Libertad</t>
  </si>
  <si>
    <t>Lúa</t>
  </si>
  <si>
    <t>Tierra</t>
  </si>
  <si>
    <t>Lurúa</t>
  </si>
  <si>
    <t>Piedra</t>
  </si>
  <si>
    <t>Mema</t>
  </si>
  <si>
    <t>Memoria</t>
  </si>
  <si>
    <t>Menikh</t>
  </si>
  <si>
    <t>Ola (siempre plural)</t>
  </si>
  <si>
    <t>Mesha</t>
  </si>
  <si>
    <t>Mar</t>
  </si>
  <si>
    <t>Naekhnis</t>
  </si>
  <si>
    <t>Hijo, descendiente</t>
  </si>
  <si>
    <t>Nama</t>
  </si>
  <si>
    <t>Cielo</t>
  </si>
  <si>
    <t>Nar</t>
  </si>
  <si>
    <t>Fuego</t>
  </si>
  <si>
    <t>Naris</t>
  </si>
  <si>
    <t>Sur</t>
  </si>
  <si>
    <t>Necra</t>
  </si>
  <si>
    <t>Crin, panoche (en yelmo)</t>
  </si>
  <si>
    <t>Nikhrolis</t>
  </si>
  <si>
    <t>Castillo, fortaleza</t>
  </si>
  <si>
    <t>Nília</t>
  </si>
  <si>
    <t>Esperanza</t>
  </si>
  <si>
    <t>Nírl</t>
  </si>
  <si>
    <t>Montaña</t>
  </si>
  <si>
    <t>Nyania</t>
  </si>
  <si>
    <t>Tesoro</t>
  </si>
  <si>
    <t>Nyash</t>
  </si>
  <si>
    <t>Joya</t>
  </si>
  <si>
    <t>Nyn</t>
  </si>
  <si>
    <t>Nyria</t>
  </si>
  <si>
    <t>Lámpara</t>
  </si>
  <si>
    <t>Nyrn</t>
  </si>
  <si>
    <t>Llama</t>
  </si>
  <si>
    <t>Nyrnthet</t>
  </si>
  <si>
    <t>Llama de las cavernas</t>
  </si>
  <si>
    <t>Oíg'ga</t>
  </si>
  <si>
    <t xml:space="preserve">Magia, hechicería. (Plu. Poet.) </t>
  </si>
  <si>
    <t>Omisurta</t>
  </si>
  <si>
    <t>Negrura, oscuridad</t>
  </si>
  <si>
    <t>Óndula</t>
  </si>
  <si>
    <t>Muerte</t>
  </si>
  <si>
    <t>Conocimiento</t>
  </si>
  <si>
    <t>Pheukhis</t>
  </si>
  <si>
    <t>Guerra, batalla</t>
  </si>
  <si>
    <t>Pitis</t>
  </si>
  <si>
    <t>Cuervo</t>
  </si>
  <si>
    <t>Pratayur</t>
  </si>
  <si>
    <t>General</t>
  </si>
  <si>
    <t xml:space="preserve">Pratis </t>
  </si>
  <si>
    <t>Soldado</t>
  </si>
  <si>
    <t>Prita</t>
  </si>
  <si>
    <t>Cueva</t>
  </si>
  <si>
    <t>Prutertu</t>
  </si>
  <si>
    <t>Vacío, agujero, oscuridad</t>
  </si>
  <si>
    <t>Réakha</t>
  </si>
  <si>
    <t>Cicatriz</t>
  </si>
  <si>
    <t>Reanad</t>
  </si>
  <si>
    <t>Sangre</t>
  </si>
  <si>
    <t>Relinagis</t>
  </si>
  <si>
    <t>Esclavo</t>
  </si>
  <si>
    <t>Relivanga</t>
  </si>
  <si>
    <t>Criada, sirvienta, esclava</t>
  </si>
  <si>
    <t>Rínama</t>
  </si>
  <si>
    <t>Averno</t>
  </si>
  <si>
    <t>Ritte</t>
  </si>
  <si>
    <t>Prisa, velocidad</t>
  </si>
  <si>
    <t>Rrázis</t>
  </si>
  <si>
    <t>Valentía, valor</t>
  </si>
  <si>
    <t>Rrnynrr</t>
  </si>
  <si>
    <t>Infortunio</t>
  </si>
  <si>
    <t>Saínis</t>
  </si>
  <si>
    <t>Campo</t>
  </si>
  <si>
    <t>Ségis</t>
  </si>
  <si>
    <t>Vida</t>
  </si>
  <si>
    <t>Shaura</t>
  </si>
  <si>
    <t>Lucha, pelea</t>
  </si>
  <si>
    <t>Shífaba</t>
  </si>
  <si>
    <t>νοστοσ, regreso al hogar</t>
  </si>
  <si>
    <t>Shuíla</t>
  </si>
  <si>
    <t>Flota, grupo de naves militares</t>
  </si>
  <si>
    <t>Shyké</t>
  </si>
  <si>
    <t>Caballero, soldado de alto rango</t>
  </si>
  <si>
    <t>Sikha</t>
  </si>
  <si>
    <t>Corona</t>
  </si>
  <si>
    <t>Síla</t>
  </si>
  <si>
    <t>Nave</t>
  </si>
  <si>
    <t>Sína</t>
  </si>
  <si>
    <t>Señora</t>
  </si>
  <si>
    <t>Skhrruris</t>
  </si>
  <si>
    <t>Skhyrr</t>
  </si>
  <si>
    <t>Guerra</t>
  </si>
  <si>
    <t>Skhyrrarrr</t>
  </si>
  <si>
    <t>Imperio (indecl.)</t>
  </si>
  <si>
    <t>Súa</t>
  </si>
  <si>
    <t>Piel</t>
  </si>
  <si>
    <t>Syfiris</t>
  </si>
  <si>
    <t>Éxodo</t>
  </si>
  <si>
    <t>Taeth</t>
  </si>
  <si>
    <t>Criatura, ser, monstruo</t>
  </si>
  <si>
    <t>Tarisurta</t>
  </si>
  <si>
    <t>Eternidad</t>
  </si>
  <si>
    <t>Teánya</t>
  </si>
  <si>
    <t>Sol</t>
  </si>
  <si>
    <t>Tenn</t>
  </si>
  <si>
    <t>Guardián</t>
  </si>
  <si>
    <t>Terent</t>
  </si>
  <si>
    <t>Profundidades, oscuridad</t>
  </si>
  <si>
    <t>Theratrív</t>
  </si>
  <si>
    <t>Tentáculo</t>
  </si>
  <si>
    <t>Therentidh</t>
  </si>
  <si>
    <t>Teréntido</t>
  </si>
  <si>
    <t>Thet</t>
  </si>
  <si>
    <t>Caverna, cueva</t>
  </si>
  <si>
    <t>Thié</t>
  </si>
  <si>
    <t>Dos</t>
  </si>
  <si>
    <t>Thieré</t>
  </si>
  <si>
    <t>Cuatro</t>
  </si>
  <si>
    <t>Thierné</t>
  </si>
  <si>
    <t>Ocho</t>
  </si>
  <si>
    <t>Thilé</t>
  </si>
  <si>
    <t>Cinco</t>
  </si>
  <si>
    <t>Thileré</t>
  </si>
  <si>
    <t>Diez</t>
  </si>
  <si>
    <t>Thilernarr</t>
  </si>
  <si>
    <t>Mil</t>
  </si>
  <si>
    <t>Thilerné</t>
  </si>
  <si>
    <t>Cien</t>
  </si>
  <si>
    <t>Thiné</t>
  </si>
  <si>
    <t>Tres</t>
  </si>
  <si>
    <t>Thineré</t>
  </si>
  <si>
    <t>Seis</t>
  </si>
  <si>
    <t>Thinerné</t>
  </si>
  <si>
    <t>Nueve</t>
  </si>
  <si>
    <t>Thirné</t>
  </si>
  <si>
    <t>Siete</t>
  </si>
  <si>
    <t>Thuduv</t>
  </si>
  <si>
    <t>Anciano, viejo</t>
  </si>
  <si>
    <t>tidrális</t>
  </si>
  <si>
    <t>Cara, faz, rostro</t>
  </si>
  <si>
    <t>Tié</t>
  </si>
  <si>
    <t>Uno</t>
  </si>
  <si>
    <t>Tíis</t>
  </si>
  <si>
    <t>Príncipe</t>
  </si>
  <si>
    <t>Tiris</t>
  </si>
  <si>
    <t>Todo</t>
  </si>
  <si>
    <t>Títis</t>
  </si>
  <si>
    <t>Hielo</t>
  </si>
  <si>
    <t>Tiuis</t>
  </si>
  <si>
    <t>Amigo</t>
  </si>
  <si>
    <t>Uhla</t>
  </si>
  <si>
    <t>Amor</t>
  </si>
  <si>
    <t>Ulernis</t>
  </si>
  <si>
    <t>Templo</t>
  </si>
  <si>
    <t>Ulú</t>
  </si>
  <si>
    <t>Dios</t>
  </si>
  <si>
    <t>Ulúnsulis</t>
  </si>
  <si>
    <t>Basílica</t>
  </si>
  <si>
    <t xml:space="preserve">Únia </t>
  </si>
  <si>
    <t>Existencia, creación</t>
  </si>
  <si>
    <t>Unikarviína</t>
  </si>
  <si>
    <t>Cetrería</t>
  </si>
  <si>
    <t>Unís</t>
  </si>
  <si>
    <t>Pájaro</t>
  </si>
  <si>
    <t>Valabunta</t>
  </si>
  <si>
    <t>Locura</t>
  </si>
  <si>
    <t>Vallamis</t>
  </si>
  <si>
    <t>Consejo, ayuda</t>
  </si>
  <si>
    <t>Varis</t>
  </si>
  <si>
    <t>Norte</t>
  </si>
  <si>
    <t>Vasínis</t>
  </si>
  <si>
    <t>Maestro</t>
  </si>
  <si>
    <t>Vaynikhfúr</t>
  </si>
  <si>
    <t>Emperador</t>
  </si>
  <si>
    <t>Vekh</t>
  </si>
  <si>
    <t>Noche</t>
  </si>
  <si>
    <t>Vina</t>
  </si>
  <si>
    <t>Gaviota</t>
  </si>
  <si>
    <t>Viosegédis</t>
  </si>
  <si>
    <t>Nonato</t>
  </si>
  <si>
    <t>Virázza</t>
  </si>
  <si>
    <t>Serpiente</t>
  </si>
  <si>
    <t>Vithuva</t>
  </si>
  <si>
    <t>Verdad</t>
  </si>
  <si>
    <t>Viúnia</t>
  </si>
  <si>
    <t>Nada</t>
  </si>
  <si>
    <t>Yliana</t>
  </si>
  <si>
    <t>Plata</t>
  </si>
  <si>
    <t>Ynais</t>
  </si>
  <si>
    <t>Mundo</t>
  </si>
  <si>
    <t>Zanfa</t>
  </si>
  <si>
    <t>Miedo, terror</t>
  </si>
  <si>
    <t>Zaya</t>
  </si>
  <si>
    <t>Error, fallo</t>
  </si>
  <si>
    <t>Nombres propios</t>
  </si>
  <si>
    <t>CALCULADORA DE LÍNEAS: estimación de líneas de verso draurír en función de palabras en español, y cálculo</t>
  </si>
  <si>
    <t>Ayanur</t>
  </si>
  <si>
    <t>Dios del cielo, rey de los dioses y rey de Rothanir</t>
  </si>
  <si>
    <t>Ratio:</t>
  </si>
  <si>
    <t>Telínie</t>
  </si>
  <si>
    <t>Diosa del Sol, reina de los dioses</t>
  </si>
  <si>
    <t>Tenet, Khyniashk</t>
  </si>
  <si>
    <t>Dios de la guerra, protector del mundo, enemigo de Uj'j</t>
  </si>
  <si>
    <t>Palabras en capítulo:</t>
  </si>
  <si>
    <t>Tennere, Heothros</t>
  </si>
  <si>
    <t>Dios de la ingeniería, el fuego y los artesanos</t>
  </si>
  <si>
    <t>Nyrassil</t>
  </si>
  <si>
    <t>Diosa de los sueños y el tiempo, reina y protectora de Lithanir</t>
  </si>
  <si>
    <t>Línea:</t>
  </si>
  <si>
    <t>Eshinsé, Mitrilur</t>
  </si>
  <si>
    <t>Dios de los mares, el explorador, esposo de Vyridea</t>
  </si>
  <si>
    <t>Burghit</t>
  </si>
  <si>
    <t>Dios de los bosques y las bestias</t>
  </si>
  <si>
    <t>Vyridea</t>
  </si>
  <si>
    <t>Diosa de las riquezas y las joyas de las cavernas, esposa de Eshinsé</t>
  </si>
  <si>
    <t>Karvun, Myshk</t>
  </si>
  <si>
    <t>Dios de la caza y padre de los dráurs</t>
  </si>
  <si>
    <t>Vevt'uc</t>
  </si>
  <si>
    <t>Dios de la muerte y rey de Uthanir</t>
  </si>
  <si>
    <t>Uj'j</t>
  </si>
  <si>
    <t>El Gran Enemigo, devorador de mundos</t>
  </si>
  <si>
    <t>Memyné</t>
  </si>
  <si>
    <t xml:space="preserve">Río de Lithanir donde discurren las aguas del pasado - río de la memoria del mundo. </t>
  </si>
  <si>
    <t>Ujur</t>
  </si>
  <si>
    <t>Isla volcánica donde se encuentra la fragua de Tennere</t>
  </si>
  <si>
    <t>Etra</t>
  </si>
  <si>
    <t>Isla poblada por humanos que esculpió Eshinsé</t>
  </si>
  <si>
    <t>Isla de los dráurs, fue destruida por los dioses</t>
  </si>
  <si>
    <t>Jashaígoisa</t>
  </si>
  <si>
    <t>La nave de Arvas - "Dama de lavanda"</t>
  </si>
  <si>
    <t>Itilirikh</t>
  </si>
  <si>
    <t xml:space="preserve">Minas de la isla de Dráura famosas por su cualidad </t>
  </si>
  <si>
    <t>Elinio</t>
  </si>
  <si>
    <t>Mar que rodeaba a Dráura</t>
  </si>
  <si>
    <t>Nysenea</t>
  </si>
  <si>
    <t>Velo con piedras preciosas usado por dráurs mujeres casadas</t>
  </si>
  <si>
    <t>Lit. "palabra sagrada", alfabeto o palabra, habla dráur</t>
  </si>
  <si>
    <t>Títurastis</t>
  </si>
  <si>
    <t>Gigante que guía a Arvas en el Libro VI, "hombre de hielo"</t>
  </si>
  <si>
    <t>Helvaria</t>
  </si>
  <si>
    <t xml:space="preserve">Etim. Hiperbórea ('hel'+'varis'), la tierra más allá del norte. Reino de los elfos y la reina Bórea. </t>
  </si>
  <si>
    <t xml:space="preserve">  </t>
  </si>
  <si>
    <t>Atíríatelis</t>
  </si>
  <si>
    <t>Lunes</t>
  </si>
  <si>
    <t>Nemetelis</t>
  </si>
  <si>
    <t>Martes</t>
  </si>
  <si>
    <t>Asilíatelis</t>
  </si>
  <si>
    <t>Miércoles</t>
  </si>
  <si>
    <t>Calíatelis</t>
  </si>
  <si>
    <t>Jueves</t>
  </si>
  <si>
    <t>Adehlíatelis</t>
  </si>
  <si>
    <t>Viernes</t>
  </si>
  <si>
    <t>Liríatelis</t>
  </si>
  <si>
    <t>Sábado</t>
  </si>
  <si>
    <t>Viosíatelis</t>
  </si>
  <si>
    <t>Domingo</t>
  </si>
  <si>
    <t>Título de mujer dráur casada</t>
  </si>
  <si>
    <t>Disína</t>
  </si>
  <si>
    <t>Título de mujer joven dráur, no casada</t>
  </si>
  <si>
    <t>Casa campestre de la nobleza dráur del tiempo de las Istais</t>
  </si>
  <si>
    <t>Scyrarr</t>
  </si>
  <si>
    <t xml:space="preserve">Lit. Imperio. Específicamente, denominación del imperio dráur desde su fundación con Arvas I. Ha habido tres Scyrarrs sucesivos. </t>
  </si>
  <si>
    <t xml:space="preserve">Título militar y religioso dráur, equivalente al "caballero" Nandán. </t>
  </si>
  <si>
    <t>Fûr</t>
  </si>
  <si>
    <t xml:space="preserve">Título equivalente a un conde. Un fûr es un título nobiliario de aquel quién gobierna un furo o tiene una cierta cantidad de tierras en una provincia. Es un título hereditario, pero el fûr debe ser shyké primero. </t>
  </si>
  <si>
    <t>Zísir</t>
  </si>
  <si>
    <t>Río pequeño que nace en las montañas del Carchil y llega como afluente al Scys</t>
  </si>
  <si>
    <t>Scys</t>
  </si>
  <si>
    <t xml:space="preserve">Río que nace de una escisión del Nírn y llega hasta el mar de Mórs, cruzando gran parte del Scyrarr dráur. </t>
  </si>
  <si>
    <t>Góreis</t>
  </si>
  <si>
    <t>Rahfûr imperialista.</t>
  </si>
  <si>
    <t>Vestálico</t>
  </si>
  <si>
    <t xml:space="preserve">Raza de perro alto y desgarbado, parecido a un galgo, de fauces más desarrolladas y pelo largo. </t>
  </si>
  <si>
    <t>Genteres</t>
  </si>
  <si>
    <t xml:space="preserve">Río que sirvió de frontera entre las Istais y la República tras la segunda Reconquista dráur. </t>
  </si>
  <si>
    <t>RAÍCES PROTO-ANIDÚRIO Y DRAURIRAS</t>
  </si>
  <si>
    <t>Prefijo</t>
  </si>
  <si>
    <t>Significado</t>
  </si>
  <si>
    <t>Raíz</t>
  </si>
  <si>
    <t>Significado2</t>
  </si>
  <si>
    <t>Sufijo</t>
  </si>
  <si>
    <t>Significado3</t>
  </si>
  <si>
    <t>oe</t>
  </si>
  <si>
    <t>Grupo, comunidad</t>
  </si>
  <si>
    <t xml:space="preserve">(cla.) De la raíz pr.an. "all" para hijo, y la raíz pr.an. "ket" para producir, hacer. "De los hijos hechos".  </t>
  </si>
  <si>
    <t>ket</t>
  </si>
  <si>
    <t>Crear, producir</t>
  </si>
  <si>
    <t xml:space="preserve">1. Descendiente, vástago. Uso poét.  </t>
  </si>
  <si>
    <t xml:space="preserve">(cla.) De la raíz pr.an. "all" para hijo, y la raíz "khun" para líder, jefe. </t>
  </si>
  <si>
    <t>1. Primer hijo varón de un rey o emperador, heredero al trono. 2. (trd.) Primer hijo varón de una casa, heredero legal del nombre familiar.</t>
  </si>
  <si>
    <r>
      <t>1. Dra.VII.272 "</t>
    </r>
    <r>
      <rPr>
        <i/>
        <sz val="11"/>
        <color theme="1"/>
        <rFont val="Aptos Narrow"/>
        <family val="2"/>
        <scheme val="minor"/>
      </rPr>
      <t>tírulth aléi hisi allkhunisi</t>
    </r>
    <r>
      <rPr>
        <sz val="11"/>
        <color theme="1"/>
        <rFont val="Aptos Narrow"/>
        <family val="2"/>
        <scheme val="minor"/>
      </rPr>
      <t>"  (viendo como el heredero).</t>
    </r>
  </si>
  <si>
    <r>
      <t>1. Dra.VII.280 "</t>
    </r>
    <r>
      <rPr>
        <i/>
        <sz val="11"/>
        <rFont val="Aptos Narrow"/>
        <family val="2"/>
        <scheme val="minor"/>
      </rPr>
      <t>hit alithit hií alkeúr  dráurur</t>
    </r>
    <r>
      <rPr>
        <sz val="11"/>
        <rFont val="Aptos Narrow"/>
        <family val="2"/>
        <scheme val="minor"/>
      </rPr>
      <t>" (el futuro del linaje dráur). 2. 983 A.O., Rakhenis de Terpenia, "</t>
    </r>
    <r>
      <rPr>
        <i/>
        <sz val="11"/>
        <rFont val="Aptos Narrow"/>
        <family val="2"/>
        <scheme val="minor"/>
      </rPr>
      <t>Alkeois kunndouruthur drauruthur ô puor unishai karvunur"</t>
    </r>
    <r>
      <rPr>
        <sz val="11"/>
        <rFont val="Aptos Narrow"/>
        <family val="2"/>
        <scheme val="minor"/>
      </rPr>
      <t xml:space="preserve">  (linaje de cóndores dráurs y otras aves de presa regias)</t>
    </r>
  </si>
  <si>
    <t xml:space="preserve">(cla.) De la raíz pr.an. "an" para ojo, vista. </t>
  </si>
  <si>
    <t>khun</t>
  </si>
  <si>
    <t>líder, jefe</t>
  </si>
  <si>
    <t>an</t>
  </si>
  <si>
    <t>ojo, vista</t>
  </si>
  <si>
    <t>1. Ojo. 2. Exclamación exhortativa: "¡Mira!"</t>
  </si>
  <si>
    <t>1. Dra.III.175 "</t>
  </si>
  <si>
    <t>Venir, acercarse</t>
  </si>
  <si>
    <t>Sinalen, sinalín</t>
  </si>
  <si>
    <t>bailar</t>
  </si>
  <si>
    <t>Bailar, danzar</t>
  </si>
  <si>
    <t>Zankhaven, zhankhavín</t>
  </si>
  <si>
    <t>Dhaema</t>
  </si>
  <si>
    <t>(cla.) Del prefijo dra. "dha-", diminutivo, y la raíz pr.an. "aem", indicando encuentro.</t>
  </si>
  <si>
    <t>dha-</t>
  </si>
  <si>
    <t>diminutivo</t>
  </si>
  <si>
    <t>aem</t>
  </si>
  <si>
    <t>Encuentro</t>
  </si>
  <si>
    <t>Caricia, roce</t>
  </si>
  <si>
    <t xml:space="preserve">1. Caricia, mimo, toque suave. 2. Roce, apenas tocar algo. En contexto náutico, cuando dos naves se rozan en el mar. </t>
  </si>
  <si>
    <r>
      <t>1. Dra. III.175 "</t>
    </r>
    <r>
      <rPr>
        <i/>
        <sz val="11"/>
        <color theme="1"/>
        <rFont val="Aptos Narrow"/>
        <family val="2"/>
        <scheme val="minor"/>
      </rPr>
      <t>Padedú dhaem’khuri drárrarikhi</t>
    </r>
    <r>
      <rPr>
        <sz val="11"/>
        <color theme="1"/>
        <rFont val="Aptos Narrow"/>
        <family val="2"/>
        <scheme val="minor"/>
      </rPr>
      <t>" (Rodéame con tus caricias feroces [dhaemakhuri acortado por métrica]). 2. Dra VIII.173 "</t>
    </r>
    <r>
      <rPr>
        <i/>
        <sz val="11"/>
        <color theme="1"/>
        <rFont val="Aptos Narrow"/>
        <family val="2"/>
        <scheme val="minor"/>
      </rPr>
      <t>Ha sila mí dhaemale sinaler</t>
    </r>
    <r>
      <rPr>
        <sz val="11"/>
        <color theme="1"/>
        <rFont val="Aptos Narrow"/>
        <family val="2"/>
        <scheme val="minor"/>
      </rPr>
      <t>" (la nave, con un roce, se acerca…)</t>
    </r>
  </si>
  <si>
    <t>Enter word to search:</t>
  </si>
  <si>
    <t>Results:</t>
  </si>
  <si>
    <t>Traducción nombres</t>
  </si>
  <si>
    <t>Género nombres</t>
  </si>
  <si>
    <t>Etimología nombres</t>
  </si>
  <si>
    <t>Definición nombres</t>
  </si>
  <si>
    <t>Ejemplo nombres</t>
  </si>
  <si>
    <t xml:space="preserve">Noun: _x000D_
Translation: Ashlé_x000D_
Gender: Aliento_x000D_
Etymology: (m.)_x000D_
Definition: (cla.)_x000D_
Example: _x000D_
_x000D_
</t>
  </si>
  <si>
    <t>Deulthroenta</t>
  </si>
  <si>
    <t>Diccionario</t>
  </si>
  <si>
    <t>Throenta</t>
  </si>
  <si>
    <t>(m.)</t>
  </si>
  <si>
    <t>DEULTHROENTA DRAURÍR</t>
  </si>
  <si>
    <t>Introduzca el término en draurír:</t>
  </si>
  <si>
    <t xml:space="preserve">Ejemplo: </t>
  </si>
  <si>
    <t>cinco</t>
  </si>
  <si>
    <t>DEULTHROéNTA DRAURÍR</t>
  </si>
  <si>
    <t>1. ψυχη. Alma, presencia incorpórea de un dráur, que se cree inmortal y que se cultiva en Líthanir para bajar a Úthanir después de la muerte del cuerpo. Representada en el pecho.  2. Identidad de un dráur, individualidad. El "ser".</t>
  </si>
  <si>
    <t xml:space="preserve">1. Állá Telínie, 3. "A, Ethredlinur anhé" (Oh, de Ethredlin alma). 2. Dra. VII.274-275 "bannisulth/linagaí lailet anheé" (rindiendo libremente su propia alma) </t>
  </si>
  <si>
    <t xml:space="preserve">1. Luz, real o metafórica, suele aparecer en descripciones religiosas de bendición. </t>
  </si>
  <si>
    <r>
      <t xml:space="preserve">1. All. Tel. 5. </t>
    </r>
    <r>
      <rPr>
        <i/>
        <sz val="11"/>
        <rFont val="Aptos Narrow"/>
        <family val="2"/>
        <scheme val="minor"/>
      </rPr>
      <t>"Uliénit veur lash meíi"</t>
    </r>
    <r>
      <rPr>
        <sz val="11"/>
        <rFont val="Aptos Narrow"/>
        <family val="2"/>
        <scheme val="minor"/>
      </rPr>
      <t xml:space="preserve"> (bendita sea tu luz)</t>
    </r>
  </si>
  <si>
    <r>
      <t>1. All. Tel. 6. "</t>
    </r>
    <r>
      <rPr>
        <i/>
        <sz val="11"/>
        <rFont val="Aptos Narrow"/>
        <family val="2"/>
        <scheme val="minor"/>
      </rPr>
      <t>Ulíenií mikhi lashikh íatelish</t>
    </r>
    <r>
      <rPr>
        <sz val="11"/>
        <rFont val="Aptos Narrow"/>
        <family val="2"/>
        <scheme val="minor"/>
      </rPr>
      <t>" (benditos tus brillantes días)</t>
    </r>
  </si>
  <si>
    <t xml:space="preserve">1. Día. Período de tiempo desde la salida del Sol a su puesta. 2. Más generalmente, tiempos pasados. </t>
  </si>
  <si>
    <t>1. Comunidad con una misma cultura y tradiciones, asignación general. 2. Reino. Antiguamente usado para referirse al reino dráur, antes de los primeros emperadores. En desuso.</t>
  </si>
  <si>
    <r>
      <t xml:space="preserve">1. All. Tel. 7 </t>
    </r>
    <r>
      <rPr>
        <i/>
        <sz val="11"/>
        <rFont val="Aptos Narrow"/>
        <family val="2"/>
        <scheme val="minor"/>
      </rPr>
      <t xml:space="preserve">"Lash hií elbaií draurur" </t>
    </r>
    <r>
      <rPr>
        <sz val="11"/>
        <rFont val="Aptos Narrow"/>
        <family val="2"/>
        <scheme val="minor"/>
      </rPr>
      <t>(luz del pueblo dráur)</t>
    </r>
  </si>
  <si>
    <t>Állá</t>
  </si>
  <si>
    <t>Salve</t>
  </si>
  <si>
    <r>
      <t xml:space="preserve">1. All. Tel. 2 </t>
    </r>
    <r>
      <rPr>
        <i/>
        <sz val="11"/>
        <color theme="1"/>
        <rFont val="Aptos Narrow"/>
        <family val="2"/>
        <scheme val="minor"/>
      </rPr>
      <t>"A, ashlé Ethredlinur"</t>
    </r>
    <r>
      <rPr>
        <sz val="11"/>
        <color theme="1"/>
        <rFont val="Aptos Narrow"/>
        <family val="2"/>
        <scheme val="minor"/>
      </rPr>
      <t xml:space="preserve"> (oh, aliento de Ethredlin)</t>
    </r>
  </si>
  <si>
    <t xml:space="preserve">1. Aliento, respiración suave. 2. Fuerza, valor, coraje. </t>
  </si>
  <si>
    <t>1. (trd.) Humano, no-dráur. A veces, también usado con kroles. 2. (cla.) Antiguamente, mortal, usado para todos los que no fueran dioses.</t>
  </si>
  <si>
    <r>
      <t>2. Dra.VII.270. "</t>
    </r>
    <r>
      <rPr>
        <i/>
        <sz val="11"/>
        <rFont val="Aptos Narrow"/>
        <family val="2"/>
        <scheme val="minor"/>
      </rPr>
      <t>emé astií eí uluri? Nikhit</t>
    </r>
    <r>
      <rPr>
        <sz val="11"/>
        <rFont val="Aptos Narrow"/>
        <family val="2"/>
        <scheme val="minor"/>
      </rPr>
      <t>" (ya mortal, ya dios? Mi)</t>
    </r>
  </si>
  <si>
    <t xml:space="preserve">(cla.) Del draurír toro "khor". Ba- es un prefijo que puede indicar uso o propósito. </t>
  </si>
  <si>
    <r>
      <t>1. Dra.VII. 276. "</t>
    </r>
    <r>
      <rPr>
        <i/>
        <sz val="11"/>
        <color theme="1"/>
        <rFont val="Aptos Narrow"/>
        <family val="2"/>
        <scheme val="minor"/>
      </rPr>
      <t>hit bakhor’ hií dégur vivithuvur</t>
    </r>
    <r>
      <rPr>
        <sz val="11"/>
        <color theme="1"/>
        <rFont val="Aptos Narrow"/>
        <family val="2"/>
        <scheme val="minor"/>
      </rPr>
      <t>" (el yugo del hermano impostor)</t>
    </r>
  </si>
  <si>
    <t>1. Yugo para bueyes. En la Drauríada, suele aparecer con significado más metafórico.</t>
  </si>
  <si>
    <t xml:space="preserve">(cla.) El prefijo bur-, del pr.an., significa rural, salvaje. "Ilív" es granjero.  </t>
  </si>
  <si>
    <t xml:space="preserve">1. Pastor, oficio de llevar a pastar ganado. </t>
  </si>
  <si>
    <t xml:space="preserve">(cla.) Proviene de "corda", que es la madera del árbol "curd" de la que se hacían las cajas donde se guardaban los papiros (thrrésath)  dráurs. Posteriormente, al aparecer el libro como cúmulo de páginas unidas entre ellas, adoptó el mismo nombre.  </t>
  </si>
  <si>
    <r>
      <t xml:space="preserve">1. (trd.) Libro, tomo. 2. (cla.) Capítulo, grupo de historias. Un </t>
    </r>
    <r>
      <rPr>
        <i/>
        <sz val="11"/>
        <color theme="1"/>
        <rFont val="Aptos Narrow"/>
        <family val="2"/>
        <scheme val="minor"/>
      </rPr>
      <t>cordis</t>
    </r>
    <r>
      <rPr>
        <sz val="11"/>
        <color theme="1"/>
        <rFont val="Aptos Narrow"/>
        <family val="2"/>
        <scheme val="minor"/>
      </rPr>
      <t xml:space="preserve"> podía tener siete thrrésath en su interior. </t>
    </r>
  </si>
  <si>
    <t>2. Los libros/capítulos de la Drauríada se llaman "Cordis".</t>
  </si>
  <si>
    <t>thrrésa</t>
  </si>
  <si>
    <t>Pergamino, papel</t>
  </si>
  <si>
    <t xml:space="preserve">(cla.) De la planta de tré. </t>
  </si>
  <si>
    <t xml:space="preserve">(cla.) De la palabra "thrrésa", pergamino, y la raíz de pr.an. -oe- para indicar grupo. </t>
  </si>
  <si>
    <t>1. Biblioteca, edificio o sala para almacenar libros o pergaminos. 2. Cúmulo de conocimientos de una persona, sabiduría.</t>
  </si>
  <si>
    <t>Biblioteca, sabiduría</t>
  </si>
  <si>
    <t xml:space="preserve">1. Pergamino hecho con trenzas de la planta de Tré, planta originaria de los estuarios del río Vecuiín. </t>
  </si>
  <si>
    <t>(cla.) De la raíz "ulu-", dios, y la palabra "ansolis", edificio.</t>
  </si>
  <si>
    <t xml:space="preserve">1. Edificio religioso consagrado a uno de los diez dioses del Ulukhari, solamente en la capital de una Istain, comúnmente de grandes dimensiones. </t>
  </si>
  <si>
    <r>
      <t xml:space="preserve">1. Grabado en la Bas. De Istain-Godrais: </t>
    </r>
    <r>
      <rPr>
        <i/>
        <sz val="11"/>
        <color theme="1"/>
        <rFont val="Aptos Narrow"/>
        <family val="2"/>
        <scheme val="minor"/>
      </rPr>
      <t>ULÚNSULIS HUR ULTHURUR KUNNUR LITHANIRUR DISÍNA RIDRÍVA DELÊNDUR Ô HA VITHUVELEA HIÍ YNAIÍ (</t>
    </r>
    <r>
      <rPr>
        <sz val="11"/>
        <color theme="1"/>
        <rFont val="Aptos Narrow"/>
        <family val="2"/>
        <scheme val="minor"/>
      </rPr>
      <t>BASÍLICA DE SU GLORIOSA MAJESTAD DE LÍTHANIR, DAMA INMACULADA DE LOS SUEÑOS Y LA REVELACIÓN DEL MUNDO)</t>
    </r>
  </si>
  <si>
    <t>1. Grabado en la Bas. De Istain-Godrais: ULÚNSULIS HUR ULTHURUR KUNNUR LITHANIRUR DISÍNA RIDRÍVA DELÊNDUR Ô HA VITHUVELEA HIÍ YNAIÍ (BASÍLICA DE SU GLORIOSA MAJESTAD DE LÍTHANIR, DAMA INMACULADA DE LOS SUEÑOS Y LA REVELACIÓN DEL MUNDO)</t>
  </si>
  <si>
    <t xml:space="preserve">1. Sueño, imaginación. 2. Huso que va hilando Liri’ínea en Líthanir, como queda visto por Nilvia en el cordis.IX  </t>
  </si>
  <si>
    <t xml:space="preserve">(cla.) Del prefijo pr.an. "de-", que significa al lado de, cercano, y "lend", origen incierto. </t>
  </si>
  <si>
    <t>de-</t>
  </si>
  <si>
    <t>cercano, suave</t>
  </si>
  <si>
    <t>Delend</t>
  </si>
  <si>
    <t>Column1</t>
  </si>
  <si>
    <t>divino</t>
  </si>
  <si>
    <t>l-</t>
  </si>
  <si>
    <t>u-</t>
  </si>
  <si>
    <t>espiritual</t>
  </si>
  <si>
    <t xml:space="preserve">1. Amor romántico entre dráurs. 2. Devoción hacia los dioses, adoración. </t>
  </si>
  <si>
    <t xml:space="preserve">(cla.) del pr.an. "UL", dios del bosque de las primeras comunidades dráurs. </t>
  </si>
  <si>
    <r>
      <t xml:space="preserve">1. (Tomando forma plur., </t>
    </r>
    <r>
      <rPr>
        <i/>
        <sz val="11"/>
        <rFont val="Aptos Narrow"/>
        <family val="2"/>
        <scheme val="minor"/>
      </rPr>
      <t>ûluth</t>
    </r>
    <r>
      <rPr>
        <sz val="11"/>
        <rFont val="Aptos Narrow"/>
        <family val="2"/>
        <scheme val="minor"/>
      </rPr>
      <t>) Uno de los diez dioses creadores del mundo, cuyas hazañas se reúnen en el Ulukhari. 2. (Sing) (trd.) Divinidad o cualquier criatura espiritual mítica. Puede incluir dioses familiares, dioses menores  u otros.</t>
    </r>
  </si>
  <si>
    <t xml:space="preserve">1.(cla.) Guerrero, soldado, dráur que lucha en una guerra. 2.(trd.) Título nobiliario otorgado por el fûr o rahfûr de una región tras un entrenamiento y posterior juramento. En la ceremonia de investidura del shyké, se le entrega la huna, que él después entregará a quién él entrene. La práctica fue degenerando hasta pasar a ser un título hereditario o nominativo. </t>
  </si>
  <si>
    <t>(cla.) -é es un gentilicio arcaico provinente del pr.an., aún presente en el ankariano. Gentilicio de guerra, "skhyrr"</t>
  </si>
  <si>
    <t xml:space="preserve">(cla.) Posibl. Amalgamación de versión arcaica de shyké (skhyé) con sufijo -arr, indicando grande. Khidukhúfosis de Sávarra sostiene que es la -ur- no es un genitivo sino un sufijo -arr, grandeza, que cambió a u para diferenciarse de la palabra skhyrrarr. </t>
  </si>
  <si>
    <t>1. Líder, general de los ejércitos, alto rango militar. 2. (trd.) Director de una institución, i.e., de una Universidad, Casa de la Moneda, edificio de derecho…</t>
  </si>
  <si>
    <t>Líder, comandante, director (trd.)</t>
  </si>
  <si>
    <t>Báukha</t>
  </si>
  <si>
    <t>aukh</t>
  </si>
  <si>
    <t>cortar, acabar</t>
  </si>
  <si>
    <t xml:space="preserve">(cla.) Del pr.an. "aukh", cortar. Nombre antiguo, da nombre a la isla de Báukha, en la península de Stisura. </t>
  </si>
  <si>
    <t>Hoz, guadaña</t>
  </si>
  <si>
    <t xml:space="preserve">1. Hoz, herramienta agraria para segar trigo. 2. Herramienta usada por Vevt'uc (o Ondulis) cuando viene a buscar los vivos. Asociado con la muerte, al ser la guadaña un símbolo del fin del ciclo de la cosecha, de la muerte del trigo. </t>
  </si>
  <si>
    <t>Zafiro</t>
  </si>
  <si>
    <t>Hária</t>
  </si>
  <si>
    <t>Suhária</t>
  </si>
  <si>
    <t xml:space="preserve">(cla.) Del pr.an. "su", azul. </t>
  </si>
  <si>
    <t>1. Zafiro, piedra preciosa azul muy popular en las costas del sur.</t>
  </si>
  <si>
    <t>Región del sur de la provincia de Stisura, región natal de Daenúa de Báukha.</t>
  </si>
  <si>
    <t xml:space="preserve">Isla donde vivió Daenúa de Báukha, junto a la península de Stisura. </t>
  </si>
  <si>
    <t>Loeía</t>
  </si>
  <si>
    <t xml:space="preserve">Región norte de la provincia de Stisura. </t>
  </si>
  <si>
    <t>Stisura</t>
  </si>
  <si>
    <t xml:space="preserve">Península del sur del Scyrarr dráur, junto al mar mórs. </t>
  </si>
  <si>
    <t>irl</t>
  </si>
  <si>
    <t>caballo, monta</t>
  </si>
  <si>
    <t>f-</t>
  </si>
  <si>
    <t>de lugar</t>
  </si>
  <si>
    <t>faléi</t>
  </si>
  <si>
    <t>Khualéi</t>
  </si>
  <si>
    <t>Cuándo</t>
  </si>
  <si>
    <t>Dónde</t>
  </si>
  <si>
    <t>de tiempo</t>
  </si>
  <si>
    <t>kh-</t>
  </si>
  <si>
    <t>Khuk</t>
  </si>
  <si>
    <t>Tiempo, eternidad</t>
  </si>
  <si>
    <t>Khu'a'ukh</t>
  </si>
  <si>
    <t xml:space="preserve">(cla.) Del prefijo "kh" para tiempo. Sign.fís., el morfema de tiempo se alza a los dos lados de los dioses "u" y Ethredlin "a", indicando la brevedad de la existencia y la mortalidad de los dioses. </t>
  </si>
  <si>
    <t xml:space="preserve">1. Tiempo "grande". El tiempo desde el inicio de la creación. Usado sobretodo en registro épico. 2. Eternidad, el más allá,  refiriéndose a la Gran Oscuridad de Úthanir o fuera de Ilnypia. </t>
  </si>
  <si>
    <t>Traducción verbos</t>
  </si>
  <si>
    <t>Traducción adjetivos</t>
  </si>
  <si>
    <t>Final</t>
  </si>
  <si>
    <t>Etimología verbos</t>
  </si>
  <si>
    <t>Definición verbos</t>
  </si>
  <si>
    <t>Ejemplos verbos</t>
  </si>
  <si>
    <t>(+ac)</t>
  </si>
  <si>
    <t>(+dat)</t>
  </si>
  <si>
    <t>(+gen)</t>
  </si>
  <si>
    <t>(intrans)</t>
  </si>
  <si>
    <t>Aunque, pero, sino</t>
  </si>
  <si>
    <t>Den, Delíiain</t>
  </si>
  <si>
    <t>Khatiut</t>
  </si>
  <si>
    <t>Fin, final</t>
  </si>
  <si>
    <t xml:space="preserve">(cla.) Del prefijo "kh" para tiempo y el verbo "tiuten", terminar. </t>
  </si>
  <si>
    <t xml:space="preserve">1. Fin de un evento que transcurre en un período de tiempo. </t>
  </si>
  <si>
    <r>
      <t>1. I.KH. VII. 99. "</t>
    </r>
    <r>
      <rPr>
        <i/>
        <sz val="11"/>
        <color theme="1"/>
        <rFont val="Aptos Narrow"/>
        <family val="2"/>
        <scheme val="minor"/>
      </rPr>
      <t>NEHIS HIS NAEKHNIS HIÍ KHU’A’UKHUR</t>
    </r>
    <r>
      <rPr>
        <sz val="11"/>
        <color theme="1"/>
        <rFont val="Aptos Narrow"/>
        <family val="2"/>
        <scheme val="minor"/>
      </rPr>
      <t>" (Yo soy el hijo del Tiempo)</t>
    </r>
  </si>
  <si>
    <r>
      <t>1. I.KH. VII. 100. "</t>
    </r>
    <r>
      <rPr>
        <i/>
        <sz val="11"/>
        <color theme="1"/>
        <rFont val="Aptos Narrow"/>
        <family val="2"/>
        <scheme val="minor"/>
      </rPr>
      <t>Ô ÓNDULUR. NEHIS KHATIUT LEKHIKITH</t>
    </r>
    <r>
      <rPr>
        <sz val="11"/>
        <color theme="1"/>
        <rFont val="Aptos Narrow"/>
        <family val="2"/>
        <scheme val="minor"/>
      </rPr>
      <t>" (Y la muerte. Yo soy vuestro fin.)</t>
    </r>
  </si>
  <si>
    <t>Firlis</t>
  </si>
  <si>
    <t>Camino, forma</t>
  </si>
  <si>
    <t>(cla.) Del prefijo "f" para lugar y la raíz del pr.an. "irl" para monta, caballo.</t>
  </si>
  <si>
    <t xml:space="preserve">1. Camino, senda, carretera. También, camino figurado, la forma de alcanzar algo. </t>
  </si>
  <si>
    <r>
      <t>1. Naelva de Shunkhu, s.I C.O. "</t>
    </r>
    <r>
      <rPr>
        <i/>
        <sz val="11"/>
        <color theme="1"/>
        <rFont val="Aptos Narrow"/>
        <family val="2"/>
        <scheme val="minor"/>
      </rPr>
      <t>His firlis hellpuor ynaií</t>
    </r>
    <r>
      <rPr>
        <sz val="11"/>
        <color theme="1"/>
        <rFont val="Aptos Narrow"/>
        <family val="2"/>
        <scheme val="minor"/>
      </rPr>
      <t>" (El camino más allá de los mundos)</t>
    </r>
  </si>
  <si>
    <t>-khari</t>
  </si>
  <si>
    <t>Acerca de, de (arcaico, poético)</t>
  </si>
  <si>
    <t>Thaíris</t>
  </si>
  <si>
    <t>Thanímis</t>
  </si>
  <si>
    <t>Jaeda</t>
  </si>
  <si>
    <t xml:space="preserve">(cla.) de la raíz de pr.an. "jae" para referirse a agua. </t>
  </si>
  <si>
    <t xml:space="preserve">1. Agua, en su definición más literal. 2. Mar, en contexto poético. </t>
  </si>
  <si>
    <t>Agua, mar</t>
  </si>
  <si>
    <t xml:space="preserve">(cla.) de la raíz "irl", caballo, montar, camino, y la raíz "jae", agua. </t>
  </si>
  <si>
    <t xml:space="preserve">1. Río, cuerpo de agua dulce dirigida al mar. También, ríos de Líthanir. 2. Senda, camino recto, metafórico. </t>
  </si>
  <si>
    <t>Junía</t>
  </si>
  <si>
    <t>Carta, mensaje, misiva</t>
  </si>
  <si>
    <t xml:space="preserve">1. Carta de papel o pergamino. 2. Mensaje encriptado enviado a alguien. </t>
  </si>
  <si>
    <r>
      <t>1. s.I, Asia de Báukha, "</t>
    </r>
    <r>
      <rPr>
        <i/>
        <sz val="11"/>
        <color theme="1"/>
        <rFont val="Aptos Narrow"/>
        <family val="2"/>
        <scheme val="minor"/>
      </rPr>
      <t>Tereakhuri Juníakh Asiur</t>
    </r>
    <r>
      <rPr>
        <sz val="11"/>
        <color theme="1"/>
        <rFont val="Aptos Narrow"/>
        <family val="2"/>
        <scheme val="minor"/>
      </rPr>
      <t xml:space="preserve"> " (Cartas de Asia a Terea)</t>
    </r>
  </si>
  <si>
    <t>(f.)</t>
  </si>
  <si>
    <t xml:space="preserve">Irluj </t>
  </si>
  <si>
    <r>
      <t>1. s.I, Juníakh Asiur, "</t>
    </r>
    <r>
      <rPr>
        <i/>
        <sz val="11"/>
        <color theme="1"/>
        <rFont val="Aptos Narrow"/>
        <family val="2"/>
        <scheme val="minor"/>
      </rPr>
      <t>Atta, Naha tirín hathe irlujuth Líthanirur</t>
    </r>
    <r>
      <rPr>
        <sz val="11"/>
        <color theme="1"/>
        <rFont val="Aptos Narrow"/>
        <family val="2"/>
        <scheme val="minor"/>
      </rPr>
      <t xml:space="preserve">" (He aquí, yo veo los ríos de Líthanir) </t>
    </r>
  </si>
  <si>
    <t>Dharluj</t>
  </si>
  <si>
    <t>Río, senda</t>
  </si>
  <si>
    <t>Arroyo, salto de agua</t>
  </si>
  <si>
    <t>(cla.) Diminutivo "dha-" de irluj</t>
  </si>
  <si>
    <t xml:space="preserve">1. Arroyo, río pequeño, salto de agua. </t>
  </si>
  <si>
    <t xml:space="preserve">(cla.) Según Nilvia, dos pájaros besándose. Según los etimólogos, amor hacia los dioses, derivado así de "ulu". </t>
  </si>
  <si>
    <t>Poeta, escritora</t>
  </si>
  <si>
    <t>Naella</t>
  </si>
  <si>
    <t xml:space="preserve">(cla.) Dada la naturaleza femenina de la profesión, Naella proviene de un nombre de mujer casta, "Naela", que, a su vez es el nombre de una orquídea. </t>
  </si>
  <si>
    <t xml:space="preserve">1. Poeta, escritora, mujer que escribe literatura o poesía. 2. Oficio de copiar textos religiosos por la iglesia. 3. Flor de los Nirlares. </t>
  </si>
  <si>
    <t>Descansar, reposar</t>
  </si>
  <si>
    <t xml:space="preserve">1. Descansar, dejar de hacer un trabajo, estar en reposo. 2. (cla.) Dicho de un fallecido: dónde está enterrado, su lugar de "descanso". </t>
  </si>
  <si>
    <t>Ludhínen, ladhínin</t>
  </si>
  <si>
    <t xml:space="preserve">Posible origen con el verbo dormir "delend", dormir con los dioses. </t>
  </si>
  <si>
    <t xml:space="preserve">Aquí </t>
  </si>
  <si>
    <t>Allá</t>
  </si>
  <si>
    <t>Nhurí</t>
  </si>
  <si>
    <t>Rínhurí</t>
  </si>
  <si>
    <t>1. Silencio, falta de sonido. 2. Expresión hortatoria: "¡Silencio!"</t>
  </si>
  <si>
    <r>
      <t xml:space="preserve">2. Dra.VII.263, Hais! </t>
    </r>
    <r>
      <rPr>
        <i/>
        <sz val="11"/>
        <rFont val="Aptos Narrow"/>
        <family val="2"/>
        <scheme val="minor"/>
      </rPr>
      <t>" Atta naekhnis zanfetis rá "</t>
    </r>
    <r>
      <rPr>
        <sz val="11"/>
        <rFont val="Aptos Narrow"/>
        <family val="2"/>
        <scheme val="minor"/>
      </rPr>
      <t xml:space="preserve"> (¡Silencio! He aquí un hijo cobarde no)</t>
    </r>
  </si>
  <si>
    <t xml:space="preserve">(cla.) "Ha" puede venir de la raíz dra. "Hais", silencio. "Aquel que silencia. </t>
  </si>
  <si>
    <t xml:space="preserve">1. Domador. Usado comúnmente con caballos u otros animales. 2. (clá) Persona calmada, capaz de apaciguar alguien con el ánimo encendido. </t>
  </si>
  <si>
    <t>Allkha</t>
  </si>
  <si>
    <t>Familia, grupo</t>
  </si>
  <si>
    <t xml:space="preserve">)trd.) Derivado de la palabra antigua para familia, "alkeois", linaje. </t>
  </si>
  <si>
    <t xml:space="preserve">1. (trd.) Familia, núcleo de dráurs emparentados. 2.  (trd.) Grupo de elementos que reúnen las mismas características. </t>
  </si>
  <si>
    <t>Métrica, ritmo</t>
  </si>
  <si>
    <t xml:space="preserve">1. (cla) Métrica: Arte o técnica de separación de elementos en poesía en unidades con distinto énfasis para provocar un ritmo.  2. (trd.) Ritmo,  velocidad, arte que tiene alguien en adherirse a la métrica. </t>
  </si>
  <si>
    <t>(cla.) Del prefijo pr.an. "t-", indicando tiempo, y la palabra "aliento", significando "aliento acompasado"</t>
  </si>
  <si>
    <t>T'ashlé</t>
  </si>
  <si>
    <t>Mîshk</t>
  </si>
  <si>
    <t>Mancebo, joven</t>
  </si>
  <si>
    <t>Nuevo</t>
  </si>
  <si>
    <t>Novedad, presagio</t>
  </si>
  <si>
    <t>Alith</t>
  </si>
  <si>
    <t>futuro</t>
  </si>
  <si>
    <t>mî-</t>
  </si>
  <si>
    <t>Por venir</t>
  </si>
  <si>
    <t>Mîshvú</t>
  </si>
  <si>
    <r>
      <t>Míshv</t>
    </r>
    <r>
      <rPr>
        <sz val="11"/>
        <color rgb="FFFF0000"/>
        <rFont val="Aptos Narrow"/>
        <family val="2"/>
        <scheme val="minor"/>
      </rPr>
      <t>u</t>
    </r>
    <r>
      <rPr>
        <sz val="11"/>
        <rFont val="Aptos Narrow"/>
        <family val="2"/>
        <scheme val="minor"/>
      </rPr>
      <t>s,  -a</t>
    </r>
  </si>
  <si>
    <t xml:space="preserve">1. (cla, arcaic) Novedad, futuro. Parecido a "Alítihis", pero se refiere a un futuro escondido, misterioso, con connotación más negativa e incierta que Alíthis. 2. (cla.) Presagio, aparición del futuro visto en los augurios de un pájaro. </t>
  </si>
  <si>
    <t xml:space="preserve">(cla.) Del prefijo arcaico "mî", aquello que vendrá, indicando porvenir. </t>
  </si>
  <si>
    <t xml:space="preserve">(cla.) Del prefijo pr.an. "mi", indicando porvenir. </t>
  </si>
  <si>
    <t xml:space="preserve">1. (cla., arcaic) Joven, chico dráur que aún no ha llegado a la mayoría de edad pero que ha pasado la pubertad.  2. En el Ulukhari, el nombre dado al dios Karvun en Inlypia. </t>
  </si>
  <si>
    <t xml:space="preserve">Mîsh- </t>
  </si>
  <si>
    <t>NEO-</t>
  </si>
  <si>
    <t>Viotítis</t>
  </si>
  <si>
    <t>Deshielo</t>
  </si>
  <si>
    <t>Rítíthis</t>
  </si>
  <si>
    <t xml:space="preserve">1. Deshielo, proceso de descongelación. </t>
  </si>
  <si>
    <r>
      <t xml:space="preserve">1. Khamkha de Safaras, </t>
    </r>
    <r>
      <rPr>
        <i/>
        <sz val="11"/>
        <color theme="1"/>
        <rFont val="Aptos Narrow"/>
        <family val="2"/>
        <scheme val="minor"/>
      </rPr>
      <t>"His viotítis hikhi  khavurtishai"</t>
    </r>
    <r>
      <rPr>
        <sz val="11"/>
        <color theme="1"/>
        <rFont val="Aptos Narrow"/>
        <family val="2"/>
        <scheme val="minor"/>
      </rPr>
      <t xml:space="preserve"> (El deshielo de los gigantes)</t>
    </r>
  </si>
  <si>
    <t xml:space="preserve">(cla.) Del prefijo negativo "rí" y la palabra "títis", hielo. Este es un ejemplo clarísimo de la diferencia entre el prefijo "vio" y "rí". Viotítis significa deshielo, pero ritíthis es calor, el opuesto a hielo, en vez de una falta (vio) de hielo. </t>
  </si>
  <si>
    <t>(cla.) Del prefijo negativo "vio" y la palabra "títis", hielo. Este es un ejemplo clarísimo de la diferencia entre el prefijo "vio" y "rí". Viotítis significa deshielo, pero ritíthis es calor, el opuesto a hielo, en vez de una falta (vio) de hielo.</t>
  </si>
  <si>
    <t>Calor, sofoco</t>
  </si>
  <si>
    <t xml:space="preserve">1. Calor, opuesto de frío, sofoco. 2. (trd.) Calor corporal, roce de la piel. </t>
  </si>
  <si>
    <t xml:space="preserve">2. Usado por Narvis en sus poemas por primera veza. </t>
  </si>
  <si>
    <t>Nyrnánis</t>
  </si>
  <si>
    <t>Teatro</t>
  </si>
  <si>
    <t>Anfiteatro</t>
  </si>
  <si>
    <t xml:space="preserve">(cla.) De "nyrn", llama o antorcha, dado a la iluminación de los teatros con antorchas.  </t>
  </si>
  <si>
    <t>Helnyrnanarr</t>
  </si>
  <si>
    <t>(cla.) De nyrnánis, teatro, y el prefijo "hel", super, y el sufjio "-arr", excelente, supremo.</t>
  </si>
  <si>
    <t xml:space="preserve">Dhakhavurtis </t>
  </si>
  <si>
    <t>Monje pítico de la época del Segundo Scyrarr dráur. Su nombre, "gigantito", proviene de su supuesta gran altura. Escribió (escribieron para él) el com</t>
  </si>
  <si>
    <t xml:space="preserve">(Trd.) (col.) Versión acortada de "Relinágis", derogatorio, usado de forma informal. </t>
  </si>
  <si>
    <t xml:space="preserve">1. (Col.) (trd.) Esclavo, sirviente. 2. (cla)Pobre hombre, dicho de alguien desdichado, mísero. MISER en latín. </t>
  </si>
  <si>
    <t>Esclavo, sirviente, miserable</t>
  </si>
  <si>
    <t>Esclava escriba</t>
  </si>
  <si>
    <t>Rellis / Rellia</t>
  </si>
  <si>
    <t>Raellíga</t>
  </si>
  <si>
    <t>(trd.)  Derivado de "rellia", que deriva de "rellivanga", pero con el morfema AE que recuerda a la palabra poetisa "nAElla"</t>
  </si>
  <si>
    <t xml:space="preserve">1. (cla.) Oficio de esclavo en que mujeres esclavizadas aprendían a escribir y actuaban como copistas o escribas, nobrmalmente de hombres dráurs.  2.(col.) (trd.) Insulto hacia hombres dráurs que leen o escriben por sí mismos. Narvis lo usaba como descripción de él mismo en sus poemas. </t>
  </si>
  <si>
    <t>Dulce, suave</t>
  </si>
  <si>
    <t>(trd.) Onomatopéico, en parte. Proviene de la repetición de pequeño dos veces (dhallis)</t>
  </si>
  <si>
    <t xml:space="preserve">1. Dulce, suave. Dicho de una fruta, o más metafóricamente, de una persona. </t>
  </si>
  <si>
    <t>1. Narv. D.XVI. "</t>
  </si>
  <si>
    <t>Dhallis, -a</t>
  </si>
  <si>
    <t>Dhaldhíis, -a</t>
  </si>
  <si>
    <t>Pequeño</t>
  </si>
  <si>
    <t>(cla.) Del diminutivo "dha"</t>
  </si>
  <si>
    <t xml:space="preserve">1. Pequeño, de estatura inferior, o objeto pequeño. 2. Dicho de un niño, usado como nombre. </t>
  </si>
  <si>
    <t>Rié  (+mismo)</t>
  </si>
  <si>
    <t>Tirra</t>
  </si>
  <si>
    <t>Cristal, vidrio</t>
  </si>
  <si>
    <t xml:space="preserve">1. Cristal, vidrio, material cristalino hecho con arena. </t>
  </si>
  <si>
    <r>
      <t>1. Nar. D.III.3: "</t>
    </r>
    <r>
      <rPr>
        <i/>
        <sz val="11"/>
        <color theme="1"/>
        <rFont val="Aptos Narrow"/>
        <family val="2"/>
        <scheme val="minor"/>
      </rPr>
      <t>Tirrakhur rié suakhur, állá</t>
    </r>
    <r>
      <rPr>
        <sz val="11"/>
        <color theme="1"/>
        <rFont val="Aptos Narrow"/>
        <family val="2"/>
        <scheme val="minor"/>
      </rPr>
      <t>," ( de piel como el cristal, salve)</t>
    </r>
  </si>
  <si>
    <t>(cla.) Opuesto "rí" de la palabra cielo "nama."</t>
  </si>
  <si>
    <t xml:space="preserve">1. Lit. bajo tierra, profundidades. 2. Averno, sínonimo de Úthanir. </t>
  </si>
  <si>
    <t>Rínyrl</t>
  </si>
  <si>
    <t>Valle</t>
  </si>
  <si>
    <t>(cla.) Opuesto "rí" de la palabra montaña "nyrl."</t>
  </si>
  <si>
    <t xml:space="preserve">1. Valle, espacio entre montañas. 2. En poesía, dicho de Líthanir, que se describe comúnmente como un valle. </t>
  </si>
  <si>
    <t>Rubí</t>
  </si>
  <si>
    <t xml:space="preserve">(cla.) Incierto.  El prefijo "n" para joya, fuego… y parecido con la palabra "reanad", sangre. </t>
  </si>
  <si>
    <t xml:space="preserve">1. Rubí, piedra preciosa escarlata muy popular en la cultura dráur. </t>
  </si>
  <si>
    <r>
      <t>2. Nar. D.III.4: "</t>
    </r>
    <r>
      <rPr>
        <i/>
        <sz val="11"/>
        <color theme="1"/>
        <rFont val="Aptos Narrow"/>
        <family val="2"/>
        <scheme val="minor"/>
      </rPr>
      <t>Rínyrlur ûlthur disína, állá</t>
    </r>
    <r>
      <rPr>
        <sz val="11"/>
        <color theme="1"/>
        <rFont val="Aptos Narrow"/>
        <family val="2"/>
        <scheme val="minor"/>
      </rPr>
      <t>," ( del valle sagrado damisela, salve)</t>
    </r>
  </si>
  <si>
    <t>Néarryd</t>
  </si>
  <si>
    <r>
      <t>1. Nar. D.III.5: "</t>
    </r>
    <r>
      <rPr>
        <i/>
        <sz val="11"/>
        <color theme="1"/>
        <rFont val="Aptos Narrow"/>
        <family val="2"/>
        <scheme val="minor"/>
      </rPr>
      <t>Néarrydur rié Déulthakhur, állá,</t>
    </r>
    <r>
      <rPr>
        <sz val="11"/>
        <color theme="1"/>
        <rFont val="Aptos Narrow"/>
        <family val="2"/>
        <scheme val="minor"/>
      </rPr>
      <t>," (de palabras como un rubí, salve)</t>
    </r>
  </si>
  <si>
    <t xml:space="preserve">1. Piel, de dráur o de animal. </t>
  </si>
  <si>
    <t xml:space="preserve">(cla.) del pr. An. "su",, piel. </t>
  </si>
  <si>
    <t>Damisela, señorita</t>
  </si>
  <si>
    <t xml:space="preserve">(cla.) Del prefijo diminutivo "dhe-" y la palabra señora, "sína". </t>
  </si>
  <si>
    <t xml:space="preserve">1. Señorita, damisela, título dado a una mujer dráur joven de buena familia y aún no casada. </t>
  </si>
  <si>
    <t xml:space="preserve">1. Palabra hierática: alfabeto específico para la escritura de épica, religión y mitología. </t>
  </si>
  <si>
    <t xml:space="preserve">(cla.) De "dea", palabra, y "ulth", divino. </t>
  </si>
  <si>
    <t>(cla.) De "deultha", palabra sagrada, jeroglífico, y throenta, biblioteca.</t>
  </si>
  <si>
    <t xml:space="preserve">1. Diccionario, grupo de palabras del alfabeto dráur. </t>
  </si>
  <si>
    <t>Colgar, balancear</t>
  </si>
  <si>
    <t>Soeníen, soenín</t>
  </si>
  <si>
    <t>Abandonar, dejar ir</t>
  </si>
  <si>
    <t>Rípaden, rípadin</t>
  </si>
  <si>
    <t xml:space="preserve">Prefijo "rí", opuesto, de verbo "padeden", abraar. </t>
  </si>
  <si>
    <r>
      <t xml:space="preserve">1. Abandonar alguien o algo a su suerte. 2. Dejar ir, soltar. (Expresión con </t>
    </r>
    <r>
      <rPr>
        <i/>
        <sz val="11"/>
        <rFont val="Aptos Narrow"/>
        <family val="2"/>
        <scheme val="minor"/>
      </rPr>
      <t>soeniulth: dejar colgando)</t>
    </r>
  </si>
  <si>
    <r>
      <t>2. Nar. D.III.7: "</t>
    </r>
    <r>
      <rPr>
        <i/>
        <sz val="11"/>
        <rFont val="Aptos Narrow"/>
        <family val="2"/>
        <scheme val="minor"/>
      </rPr>
      <t>Rípadel nehisi soeniúlth, soeniúlth</t>
    </r>
    <r>
      <rPr>
        <sz val="11"/>
        <rFont val="Aptos Narrow"/>
        <family val="2"/>
        <scheme val="minor"/>
      </rPr>
      <t>,," (me dejas colgando, colgando)</t>
    </r>
  </si>
  <si>
    <r>
      <t>1. Nar. D.III.7: "</t>
    </r>
    <r>
      <rPr>
        <i/>
        <sz val="11"/>
        <rFont val="Aptos Narrow"/>
        <family val="2"/>
        <scheme val="minor"/>
      </rPr>
      <t>Rípadel nehisi soeniúlth, soeniúlth</t>
    </r>
    <r>
      <rPr>
        <sz val="11"/>
        <rFont val="Aptos Narrow"/>
        <family val="2"/>
        <scheme val="minor"/>
      </rPr>
      <t>,," (me dejas colgando, colgando)</t>
    </r>
  </si>
  <si>
    <t xml:space="preserve">Desconocido, quizá onomatopeico. </t>
  </si>
  <si>
    <t>Cama, lecho</t>
  </si>
  <si>
    <t>Denna</t>
  </si>
  <si>
    <t xml:space="preserve">1. Cama, lecho, </t>
  </si>
  <si>
    <t>Ídennaren, ídennarín</t>
  </si>
  <si>
    <t>Del nombre de cama "denna"</t>
  </si>
  <si>
    <t>Encamarse, acostarse</t>
  </si>
  <si>
    <t xml:space="preserve">1. Acostarse, irse a dormir. 2. Acostarse con alguien, versión formal de referirse a la cópula. </t>
  </si>
  <si>
    <t>Pah</t>
  </si>
  <si>
    <t>Mientras</t>
  </si>
  <si>
    <r>
      <t>1. Narvis. III.8 "</t>
    </r>
    <r>
      <rPr>
        <i/>
        <sz val="11"/>
        <color theme="1"/>
        <rFont val="Aptos Narrow"/>
        <family val="2"/>
        <scheme val="minor"/>
      </rPr>
      <t>Rié nehíi atrivuth mi dennale</t>
    </r>
    <r>
      <rPr>
        <sz val="11"/>
        <color theme="1"/>
        <rFont val="Aptos Narrow"/>
        <family val="2"/>
        <scheme val="minor"/>
      </rPr>
      <t>" (como mis brazos en la cama)</t>
    </r>
  </si>
  <si>
    <t xml:space="preserve">1. Brazo , extremidad dráur. 2. Forma poética para tentáculos de teréntido. </t>
  </si>
  <si>
    <t>Intentar, pretender</t>
  </si>
  <si>
    <t xml:space="preserve">1. Intentar la ejecución de una acción, sin garantía del resultado. </t>
  </si>
  <si>
    <t>1. Nar. D.III.7: "Rípadel nehisi soeniúlth, soeniúlth,," (me dejas colgando, colgando)</t>
  </si>
  <si>
    <t>(inf)</t>
  </si>
  <si>
    <t>Jaén, jaín</t>
  </si>
  <si>
    <t>Tener una idea, ocurrirse</t>
  </si>
  <si>
    <t xml:space="preserve">1. Tener una idea, aparecérsele la inspiración a alguien. </t>
  </si>
  <si>
    <t>Meídien, meídín</t>
  </si>
  <si>
    <t xml:space="preserve">Del morfema "ydia", de "lydia", diosa de la inspiración, y el prefijo "mi", en. </t>
  </si>
  <si>
    <t>Cosa, objeto</t>
  </si>
  <si>
    <t xml:space="preserve">1. Cosa, objeto, elemento. </t>
  </si>
  <si>
    <t>Vá</t>
  </si>
  <si>
    <t>Estrategia, plan</t>
  </si>
  <si>
    <t xml:space="preserve">(cla.) Relacionado con "Khúrea", que tiene connotación más negativa, de treta o engaño. </t>
  </si>
  <si>
    <t xml:space="preserve">1. (cla.) Estrategia, acción de preparar una acción militar,  sabiduraía en combate.  2. (trd.) Plan, idea. </t>
  </si>
  <si>
    <r>
      <t>2. Nar. D.III.12: "</t>
    </r>
    <r>
      <rPr>
        <i/>
        <sz val="11"/>
        <color theme="1"/>
        <rFont val="Aptos Narrow"/>
        <family val="2"/>
        <scheme val="minor"/>
      </rPr>
      <t>Rínyrlur ûlthur disína, állá</t>
    </r>
    <r>
      <rPr>
        <sz val="11"/>
        <color theme="1"/>
        <rFont val="Aptos Narrow"/>
        <family val="2"/>
        <scheme val="minor"/>
      </rPr>
      <t>," ( del valle sagrado damisela, salve)</t>
    </r>
  </si>
  <si>
    <t>Shyreá</t>
  </si>
  <si>
    <t>Nombre</t>
  </si>
  <si>
    <t>il</t>
  </si>
  <si>
    <t>persona</t>
  </si>
  <si>
    <t>Aydea</t>
  </si>
  <si>
    <t xml:space="preserve">(cla.) de "dea", palabra, y "ay", antiguo pr.an. De persona. </t>
  </si>
  <si>
    <t xml:space="preserve">1. Nombre propio. 2. Nombre de objeto, etc. </t>
  </si>
  <si>
    <t xml:space="preserve">Aydeatis </t>
  </si>
  <si>
    <t>Nominador</t>
  </si>
  <si>
    <t xml:space="preserve">1. Título dado al dios Ayanur en el Ulukhari. 2. Persona que crea significado a través de la imposición de nombres, usado con Arvas en la Drauríada. </t>
  </si>
  <si>
    <t>-tis</t>
  </si>
  <si>
    <t>Gentilicio, oficio</t>
  </si>
  <si>
    <t xml:space="preserve">(cla.) de Aydea, nombre, y el gentilicio -tis, que indica profesión o personificaión. </t>
  </si>
  <si>
    <t>Vioáydea</t>
  </si>
  <si>
    <t>Apodo</t>
  </si>
  <si>
    <t xml:space="preserve">1. (cla.) Lit. no-nombre, un nombre falso, un nombre que es mentira. 2. (trd.) Apodo. </t>
  </si>
  <si>
    <t xml:space="preserve">(cla.) de Aydea, nombre, y el prefijo "vio", falta de. </t>
  </si>
  <si>
    <t>Vidrétis, -a</t>
  </si>
  <si>
    <t xml:space="preserve">1. Gruñón, malhumorado, hosco, antipático. Atribuido a Eshinsé, muchas veces. </t>
  </si>
  <si>
    <t>Gruñón</t>
  </si>
  <si>
    <t xml:space="preserve">Opuesto (vi) de fedretis, orgulloso, feliz. </t>
  </si>
  <si>
    <t>1. Orgulloso de un trabajo bien hecho o alguien. 2. Feliz, contento (intransit)</t>
  </si>
  <si>
    <t>Orgulloso, feliz</t>
  </si>
  <si>
    <t>Vomitar, escupir</t>
  </si>
  <si>
    <t xml:space="preserve">1. Expulsar algo violentamente, connotación negativa. 2. Vomitar, escupir. </t>
  </si>
  <si>
    <t>De "berrlen", brotar, y "hoi", fuera</t>
  </si>
  <si>
    <t xml:space="preserve">Fuera de </t>
  </si>
  <si>
    <t>Khoí (gen)</t>
  </si>
  <si>
    <t>Berrkhen, berrkhin</t>
  </si>
  <si>
    <t>Katératis</t>
  </si>
  <si>
    <t>Magistrado, juicio</t>
  </si>
  <si>
    <t xml:space="preserve">1. Edificio legal donde transcurren juicios y otras actividades legales en una ciudad dráur. </t>
  </si>
  <si>
    <t>Throís</t>
  </si>
  <si>
    <t>Sabio</t>
  </si>
  <si>
    <t xml:space="preserve">1. Sabio, conocedor de una materia, experto. </t>
  </si>
  <si>
    <t xml:space="preserve">Tonto, estúpido </t>
  </si>
  <si>
    <t>Ríthrotís</t>
  </si>
  <si>
    <t xml:space="preserve">De "throís", sabio, y "rí", negación. </t>
  </si>
  <si>
    <t xml:space="preserve">1.(trd.) (col.) Alguien que no sabe de nada, un estúpido, un tonto. </t>
  </si>
  <si>
    <r>
      <t>1. Narv. D.III.16 "</t>
    </r>
    <r>
      <rPr>
        <i/>
        <sz val="11"/>
        <rFont val="Aptos Narrow"/>
        <family val="2"/>
        <scheme val="minor"/>
      </rPr>
      <t xml:space="preserve">Mi katératikh, ulernis hikhi ríthrotishai" </t>
    </r>
    <r>
      <rPr>
        <sz val="11"/>
        <rFont val="Aptos Narrow"/>
        <family val="2"/>
        <scheme val="minor"/>
      </rPr>
      <t>(en los magistrados, el templo de los estúpidos)</t>
    </r>
  </si>
  <si>
    <r>
      <t>1. Narv. D.III.16 "</t>
    </r>
    <r>
      <rPr>
        <i/>
        <sz val="11"/>
        <color theme="1"/>
        <rFont val="Aptos Narrow"/>
        <family val="2"/>
        <scheme val="minor"/>
      </rPr>
      <t>Mi katératikh, ulernis hikhi ríthrotishai</t>
    </r>
    <r>
      <rPr>
        <sz val="11"/>
        <color theme="1"/>
        <rFont val="Aptos Narrow"/>
        <family val="2"/>
        <scheme val="minor"/>
      </rPr>
      <t>" (en los magistrados, el templo de los estúpidos)</t>
    </r>
  </si>
  <si>
    <r>
      <rPr>
        <sz val="11"/>
        <color theme="1"/>
        <rFont val="Aptos Narrow"/>
        <family val="2"/>
        <scheme val="minor"/>
      </rPr>
      <t xml:space="preserve">1.Narv. D.III.16 </t>
    </r>
    <r>
      <rPr>
        <i/>
        <sz val="11"/>
        <color theme="1"/>
        <rFont val="Aptos Narrow"/>
        <family val="2"/>
        <scheme val="minor"/>
      </rPr>
      <t>"Mi katératikh, ulernis hikhi ríthrotishai"</t>
    </r>
    <r>
      <rPr>
        <sz val="11"/>
        <color theme="1"/>
        <rFont val="Aptos Narrow"/>
        <family val="2"/>
        <scheme val="minor"/>
      </rPr>
      <t xml:space="preserve"> (en los magistrados, el templo de los estúpidos)</t>
    </r>
  </si>
  <si>
    <t xml:space="preserve">1. Templo, lugar de culto, definición más general de iglesia. </t>
  </si>
  <si>
    <t xml:space="preserve">(cla.) De "UL", pr.an. De sagrado. </t>
  </si>
  <si>
    <t xml:space="preserve">1. Ir, acudir a un lugar, ir de un lugar a otro. 2. Visitar, hacer una visita a alguien. </t>
  </si>
  <si>
    <t>Uhléis, -a</t>
  </si>
  <si>
    <t>Querido, apreciado</t>
  </si>
  <si>
    <t xml:space="preserve">1. Querido, apreciado, amado. </t>
  </si>
  <si>
    <t>Riéé</t>
  </si>
  <si>
    <r>
      <t xml:space="preserve"> 1. Nar. D.III.19: "</t>
    </r>
    <r>
      <rPr>
        <i/>
        <sz val="11"/>
        <rFont val="Aptos Narrow"/>
        <family val="2"/>
        <scheme val="minor"/>
      </rPr>
      <t>Riéé nahis nar viun ô viur yliana leha</t>
    </r>
    <r>
      <rPr>
        <sz val="11"/>
        <rFont val="Aptos Narrow"/>
        <family val="2"/>
        <scheme val="minor"/>
      </rPr>
      <t xml:space="preserve"> ," ( como si yo fuera fuego y ella plata fuese)</t>
    </r>
  </si>
  <si>
    <t>Ganyash</t>
  </si>
  <si>
    <t>Metal</t>
  </si>
  <si>
    <t xml:space="preserve">1. Metal , piedra brillante, material de bajo tierra moldeable. </t>
  </si>
  <si>
    <t xml:space="preserve">1. Domar, amaestrar a una criatura o persona. 2. Templar un metal durante la forja. </t>
  </si>
  <si>
    <t>Domar, amaestrar, templar</t>
  </si>
  <si>
    <r>
      <t>2. Nar. D.III.20: "</t>
    </r>
    <r>
      <rPr>
        <i/>
        <sz val="11"/>
        <rFont val="Aptos Narrow"/>
        <family val="2"/>
        <scheme val="minor"/>
      </rPr>
      <t>Shá lest Telínié hatonané hit ginyashe</t>
    </r>
    <r>
      <rPr>
        <sz val="11"/>
        <rFont val="Aptos Narrow"/>
        <family val="2"/>
        <scheme val="minor"/>
      </rPr>
      <t>" (y bajo Telínie templaremos el metal)</t>
    </r>
  </si>
  <si>
    <r>
      <t>1. 2. Nar. D.III.20: "</t>
    </r>
    <r>
      <rPr>
        <i/>
        <sz val="11"/>
        <color theme="1"/>
        <rFont val="Aptos Narrow"/>
        <family val="2"/>
        <scheme val="minor"/>
      </rPr>
      <t>Shá lest Telínié hatonané hit ginyashe</t>
    </r>
    <r>
      <rPr>
        <sz val="11"/>
        <color theme="1"/>
        <rFont val="Aptos Narrow"/>
        <family val="2"/>
        <scheme val="minor"/>
      </rPr>
      <t>" (y bajo Telínie templaremos el metal)</t>
    </r>
  </si>
  <si>
    <t>Martillo</t>
  </si>
  <si>
    <t>Khunk</t>
  </si>
  <si>
    <t xml:space="preserve">(cla.) onomatopéico. </t>
  </si>
  <si>
    <t xml:space="preserve">1. Martillo. Aparece referenciado junto a Tennire, muchas veces. </t>
  </si>
  <si>
    <t>Takhunken, takhunkin</t>
  </si>
  <si>
    <t>Golpear, martillear</t>
  </si>
  <si>
    <t>Dellén, dellín</t>
  </si>
  <si>
    <t>Dormir</t>
  </si>
  <si>
    <t xml:space="preserve">1. Dormir, descansar. </t>
  </si>
  <si>
    <t xml:space="preserve">del dios "delend", sueño. </t>
  </si>
  <si>
    <t>Afilado, esbelto</t>
  </si>
  <si>
    <t xml:space="preserve">1. Afilado, dicho de una espada o un metal. 2. Nervudo, esbelto, alguien que es delgado  y estilizado. </t>
  </si>
  <si>
    <t>Jaeshinis, -a</t>
  </si>
  <si>
    <t>Ahora</t>
  </si>
  <si>
    <t xml:space="preserve">Nhurest </t>
  </si>
  <si>
    <t>Inocente</t>
  </si>
  <si>
    <t xml:space="preserve">de "kháuis", culpable, agresor, y el prefijo negativo "rí". </t>
  </si>
  <si>
    <t xml:space="preserve">1. Inocente, exento de culpa, juvenil. </t>
  </si>
  <si>
    <t>Culpable</t>
  </si>
  <si>
    <t xml:space="preserve">1. Agresor, culpable, causante de una injuria o acto reprobable. </t>
  </si>
  <si>
    <t>Kháuris, -a</t>
  </si>
  <si>
    <t>Ríkháuris, -a</t>
  </si>
  <si>
    <t>Espiga</t>
  </si>
  <si>
    <t>Tadha</t>
  </si>
  <si>
    <t>Nynnthen, nynnthin</t>
  </si>
  <si>
    <t>Tejer, zurcir</t>
  </si>
  <si>
    <t>Nynnthis</t>
  </si>
  <si>
    <t xml:space="preserve">"Ha sido decretado", "dice el destino". Literalmente, "ha sido tejido".  Expresion para hablar del paso del destino. </t>
  </si>
  <si>
    <t>Destino, telar</t>
  </si>
  <si>
    <t>Clavar, hendir, incrustar</t>
  </si>
  <si>
    <t xml:space="preserve">1. Clavar un elemento puntiagudo en otro medio. Usado comúnmente con lanzas. </t>
  </si>
  <si>
    <t>Íthíen, ithíin</t>
  </si>
  <si>
    <t xml:space="preserve">De "íthi", pináculo, punta de lanza. </t>
  </si>
  <si>
    <t>Lanza</t>
  </si>
  <si>
    <t>Thijra</t>
  </si>
  <si>
    <t xml:space="preserve">(cla.) Del morfema "thi", asociado a lanza, punta (véase ithí). </t>
  </si>
  <si>
    <t xml:space="preserve">1. Lanza. </t>
  </si>
  <si>
    <t>1. Dra.II.292. "Siíthír hall menikh rié thijrale " (Había hendido las olas como una lanza)</t>
  </si>
  <si>
    <t xml:space="preserve">1. Olas. Siempre plural, oleaje. </t>
  </si>
  <si>
    <t>Espuma</t>
  </si>
  <si>
    <t xml:space="preserve">1. Espuma marina, espuma del mar en las olas. 2. Semen. </t>
  </si>
  <si>
    <t>Zeda</t>
  </si>
  <si>
    <t xml:space="preserve">(cla.) De un morfema antiguo del pr.an. "ze", procreación, hijo, generación. </t>
  </si>
  <si>
    <t>Ze</t>
  </si>
  <si>
    <t xml:space="preserve">procreación,generación. </t>
  </si>
  <si>
    <t xml:space="preserve">1. Lágrima. </t>
  </si>
  <si>
    <t>1. Dra.II.293  "Berrlulth eszakhe zedrur. (Uíl)  eszuri" (Vertiendo lágrimas de espuma. Con lágrimas)</t>
  </si>
  <si>
    <t xml:space="preserve">1. Brotar, surgir de un agujero. 2. Verter, salpicar. </t>
  </si>
  <si>
    <t>2. Dra.II.293  "Berrlulth eszakhe zedrur. (Uíl)  eszuri" (Vertiendo lágrimas de espuma. Con lágrimas)</t>
  </si>
  <si>
    <t>1. Cantar, acto de recitar versos o poesía con una cierta dicción y tonalidad. 2. (cla.) Hablar, contar una historia.</t>
  </si>
  <si>
    <t>Isla</t>
  </si>
  <si>
    <t>Mastha</t>
  </si>
  <si>
    <t xml:space="preserve">(cla.)  Prefijo "m'" para elementos marítimos, resto desconocido. </t>
  </si>
  <si>
    <t xml:space="preserve">1. Isla, tierra rodeada de mar. </t>
  </si>
  <si>
    <t>1. Dra.II.294 " Vygíair nhurest hit khatiute masthur" (Cantó ahora el final de la isla)</t>
  </si>
  <si>
    <t>Líall</t>
  </si>
  <si>
    <t>Hogar</t>
  </si>
  <si>
    <t xml:space="preserve">(cla.) Precursor de "aliéya", se cree. </t>
  </si>
  <si>
    <t xml:space="preserve">1. Hogar, lugar donde habita alguien, connotación dulce. 2. (trd.) Casa donde vive alguien, seguido de gen. Para indicar una dirección. </t>
  </si>
  <si>
    <r>
      <t>2. Dra. II.296. "</t>
    </r>
    <r>
      <rPr>
        <i/>
        <sz val="11"/>
        <rFont val="Aptos Narrow"/>
        <family val="2"/>
        <scheme val="minor"/>
      </rPr>
      <t>Vygíulth fedretis his Mitrilurur"</t>
    </r>
    <r>
      <rPr>
        <sz val="11"/>
        <rFont val="Aptos Narrow"/>
        <family val="2"/>
        <scheme val="minor"/>
      </rPr>
      <t xml:space="preserve"> (Cantando orgulloso, el Mitriluro)</t>
    </r>
  </si>
  <si>
    <r>
      <t>1. Dra. II.296. "</t>
    </r>
    <r>
      <rPr>
        <i/>
        <sz val="11"/>
        <rFont val="Aptos Narrow"/>
        <family val="2"/>
        <scheme val="minor"/>
      </rPr>
      <t>Vygíulth fedretis his Mitrilurur</t>
    </r>
    <r>
      <rPr>
        <sz val="11"/>
        <rFont val="Aptos Narrow"/>
        <family val="2"/>
        <scheme val="minor"/>
      </rPr>
      <t xml:space="preserve">" (Cantando orgulloso, el Mitriluro) 2. Dra.II.294 " </t>
    </r>
    <r>
      <rPr>
        <i/>
        <sz val="11"/>
        <rFont val="Aptos Narrow"/>
        <family val="2"/>
        <scheme val="minor"/>
      </rPr>
      <t>Vygíair nhurest hit khatiute masthur</t>
    </r>
    <r>
      <rPr>
        <sz val="11"/>
        <rFont val="Aptos Narrow"/>
        <family val="2"/>
        <scheme val="minor"/>
      </rPr>
      <t>" (Relató ahora el final de la isla)</t>
    </r>
  </si>
  <si>
    <t>Soplar</t>
  </si>
  <si>
    <t>Juúsen, juusin</t>
  </si>
  <si>
    <t xml:space="preserve">Onomatopeico, de "juus", un soplo. </t>
  </si>
  <si>
    <t>Viento</t>
  </si>
  <si>
    <t>Júus</t>
  </si>
  <si>
    <t xml:space="preserve">(cla.) Onomatopeico, palabra del pr.an. "ju", viento. </t>
  </si>
  <si>
    <t xml:space="preserve">1. Viento, movimiento de aire. 2. Aire. </t>
  </si>
  <si>
    <t xml:space="preserve">1. Soplar, normalm. Un cuerno o instrumento. </t>
  </si>
  <si>
    <t>Cuerno</t>
  </si>
  <si>
    <t>Kobenh</t>
  </si>
  <si>
    <t xml:space="preserve">(cla.) De la grafía "k" para caza, dibujando un cuerno de ciervo. </t>
  </si>
  <si>
    <t xml:space="preserve">1. Cuerno de animal, cornamenta. 2. Cuerno de aire, instrumento musical y militar. </t>
  </si>
  <si>
    <t xml:space="preserve">1. Lit. golpear con el martillo. 2. Con "delendur", arrancar a alguien del sueño, lit. "martillearlos fuera de sueño". </t>
  </si>
  <si>
    <t xml:space="preserve">2. Dra.II.297 " </t>
  </si>
  <si>
    <t>Thilernarris, -a</t>
  </si>
  <si>
    <t>Milenario, eterno</t>
  </si>
  <si>
    <t>De mil, "thilernarr.</t>
  </si>
  <si>
    <t xml:space="preserve">1. Milenario, que se mide en miles de años. 2. Eterno. </t>
  </si>
  <si>
    <t xml:space="preserve">De terent, profundiades. </t>
  </si>
  <si>
    <t xml:space="preserve">1. Abisal, profundo, refiriendose a las profundidades del mar. 2. Eterno, que dura mucho tiempo, a veces con imperios o reyes. </t>
  </si>
  <si>
    <t>Profundo, abisal, eterno</t>
  </si>
  <si>
    <t xml:space="preserve">1. Crear, construir, esculpir. </t>
  </si>
  <si>
    <t>Alzarse, levantarse, erguir</t>
  </si>
  <si>
    <t xml:space="preserve">1. Alzarse, levantarse, ponerse de pie o erguir un monumento o edificio. Poner en pie. </t>
  </si>
  <si>
    <t>Íliumen, ilíumín</t>
  </si>
  <si>
    <t>Alto, elevado</t>
  </si>
  <si>
    <t>Annis, -a</t>
  </si>
  <si>
    <t>Del morfema "ann'", simbolizando alto, elevado en pr.an.</t>
  </si>
  <si>
    <t xml:space="preserve">ann- </t>
  </si>
  <si>
    <t xml:space="preserve">1. Alto, de estatura elevada, dicho de una persona. 2. Elevado, dicho de una montaña o terreno. </t>
  </si>
  <si>
    <t>Arrancar, destripar</t>
  </si>
  <si>
    <t>Ráurrren, ráurrrin</t>
  </si>
  <si>
    <t>Del pr.an. "ráu", fuerza, destrucción. El río "Rauros" proviene del verbo, por el mito del río siendo las tripas de la montaña…</t>
  </si>
  <si>
    <t xml:space="preserve">1. Arrancar, socavar, levantar los cimientos de un edificio, árbol o planta. 2. (cla.) Destripar, arrancar las vísceras de un animal o persona. </t>
  </si>
  <si>
    <t>Raíz, base</t>
  </si>
  <si>
    <t>Kattara</t>
  </si>
  <si>
    <t>Tar</t>
  </si>
  <si>
    <t xml:space="preserve">1. Raíz de un árbol o planta. 2. Base de un edificio, sótano, planta baja. </t>
  </si>
  <si>
    <t>1. Dra.II.302."Hall nírle annanit Lerthur rráurrrulth hall" (La montaña más alta de Lertha arrancando la)</t>
  </si>
  <si>
    <t>De, acerca de (about)</t>
  </si>
  <si>
    <t>De, desde (from)</t>
  </si>
  <si>
    <t>Como si… condicional (+subj)</t>
  </si>
  <si>
    <t>Béannis</t>
  </si>
  <si>
    <t>Abeto</t>
  </si>
  <si>
    <t xml:space="preserve">(cla.) Del pr.an. "ann", alto, y la B es el propio morfema del abeto dibujado. </t>
  </si>
  <si>
    <t xml:space="preserve">1. Abeto, tipo de árbol perenne común en la Drauríada, que crece en climas fríos. </t>
  </si>
  <si>
    <t xml:space="preserve">Del morfema "khor", buey, toro. </t>
  </si>
  <si>
    <t>Tozudo, resistente</t>
  </si>
  <si>
    <t xml:space="preserve">1. Tozudo, terco, difícil de convencer. 2. (trd.) Dicho de un objeto: duro, difícil de romper, resistente. </t>
  </si>
  <si>
    <t>Khoranis, -a</t>
  </si>
  <si>
    <t xml:space="preserve">1. Colgar, balancearse de un eje. 2. Zarandearse.  </t>
  </si>
  <si>
    <t>Tronco, tonto</t>
  </si>
  <si>
    <t>Sarakh</t>
  </si>
  <si>
    <t xml:space="preserve">(cla.) Plural arcaico de "sar", nombre de pr.an. Para madera, es decir, grupo de maderas. </t>
  </si>
  <si>
    <t xml:space="preserve">1. Tronco, parte del árbol entre la copa y las raíces. 2. (trd.) Tonto, estúpido, insulto que discrimina contra la inteligencia de alguien. </t>
  </si>
  <si>
    <r>
      <t>Muchas veces, varias veces (often) (</t>
    </r>
    <r>
      <rPr>
        <i/>
        <sz val="11"/>
        <color theme="1"/>
        <rFont val="Aptos Narrow"/>
        <family val="2"/>
        <scheme val="minor"/>
      </rPr>
      <t>polú</t>
    </r>
    <r>
      <rPr>
        <sz val="11"/>
        <color theme="1"/>
        <rFont val="Aptos Narrow"/>
        <family val="2"/>
        <scheme val="minor"/>
      </rPr>
      <t>)</t>
    </r>
  </si>
  <si>
    <t>Etimología adjetivos</t>
  </si>
  <si>
    <t>Definición adjetivos</t>
  </si>
  <si>
    <t>Ejemplos adjetivos</t>
  </si>
  <si>
    <t>Hapsí</t>
  </si>
  <si>
    <t>Hasta que + verbo en subj…</t>
  </si>
  <si>
    <t>aleí (+inf)</t>
  </si>
  <si>
    <t>Finalmente, al fin</t>
  </si>
  <si>
    <t>Khatí</t>
  </si>
  <si>
    <t>Ancla</t>
  </si>
  <si>
    <t>Klíthem</t>
  </si>
  <si>
    <t xml:space="preserve">(cla.) Del prefijo pr.an. "kl", ajustar, meter, encabir.  </t>
  </si>
  <si>
    <t xml:space="preserve">kl- </t>
  </si>
  <si>
    <t>Ajustar, meter</t>
  </si>
  <si>
    <t xml:space="preserve">1. Ancla de un navío, peso para mantener el navío en el mismo sitio. </t>
  </si>
  <si>
    <t>Klithímen, klithímín</t>
  </si>
  <si>
    <t>Anclar, amarrar</t>
  </si>
  <si>
    <t>de "klíthim", ancla.</t>
  </si>
  <si>
    <t xml:space="preserve">1. Anclar un navío, amarrarlo para que no se mueva. </t>
  </si>
  <si>
    <t xml:space="preserve">1. Rendirse, conceder la derrota y capitular ante otro bando. 2. Con " óndulur", lit."rendirse a la muerte", morir con resignación. </t>
  </si>
  <si>
    <t>2. Dra.II.308. "rípadé ô bannisir óndulur" (dejarse ir y se rindió a la muerte)</t>
  </si>
  <si>
    <t>1. Dra.II.308. "rípadé ô bannisir óndulur" (dejarse ir y se rindió a la muerte)</t>
  </si>
  <si>
    <t>1. Muerte.</t>
  </si>
  <si>
    <t>1. Dra. II. 307: "lekhikh thuduvikh klíthimuth khatí" (sus viejas áncoras, que al fin)</t>
  </si>
  <si>
    <t>De vuelta (back)</t>
  </si>
  <si>
    <t>Lest (+gen)</t>
  </si>
  <si>
    <t>Nuéhrrris</t>
  </si>
  <si>
    <t>Tiburón, monstruo marino</t>
  </si>
  <si>
    <t>Edha</t>
  </si>
  <si>
    <t xml:space="preserve">1. (cla.) Tiburón, familia de peces carnívoros. 2. (trd.) Cualquier tipo de monstruo marino.  </t>
  </si>
  <si>
    <t xml:space="preserve">(cla.) Desconocido. La nave "Nuéryedha" viene de esta palabra. </t>
  </si>
  <si>
    <t>Nuéryedha</t>
  </si>
  <si>
    <t>Hierro, quilla</t>
  </si>
  <si>
    <t xml:space="preserve">1. Hierro, metal usado para hacer armas. 2. (cla.) Quilla. Como las quillas estaban hechas de hierro. Es una metonimia. </t>
  </si>
  <si>
    <t xml:space="preserve">(cla.) De "nuekhis", hambriento. La nave "Nuéryedha" viene de esta palabra. </t>
  </si>
  <si>
    <t>Núakh</t>
  </si>
  <si>
    <t xml:space="preserve">(cla.) Del pr.an. "núakh", hambre. </t>
  </si>
  <si>
    <t xml:space="preserve">1. Hambre, necesidad de comer. 2. (cla.) Deseo, ambición. </t>
  </si>
  <si>
    <t>Hambre, ambición</t>
  </si>
  <si>
    <t xml:space="preserve">Nave de Rakhrur. Signfica "tiburón de hierro". El nombre es importante porque detalla gran parte de la personalidad de Rakhrur. Nuéhrris, tiburón, deriva de nuákh, hambre o ambición, lo que lo identifica como hambriento o ambicioso. Edha, hierro, también se refiere a la quilla de metal, y la nave de Rakhrur se describe repetidamente en la Drauríada como afilada. </t>
  </si>
  <si>
    <t>Nuékhis, -a</t>
  </si>
  <si>
    <t>Hambriento</t>
  </si>
  <si>
    <t>De nuákh, hambre.</t>
  </si>
  <si>
    <t xml:space="preserve">1. Hambriento, deseoso, ambicioso. </t>
  </si>
  <si>
    <t>Símneren, símnerin</t>
  </si>
  <si>
    <t>Nadar, atravesar</t>
  </si>
  <si>
    <t xml:space="preserve">Desconocido. </t>
  </si>
  <si>
    <t xml:space="preserve">1. Nadar, atravesar un cuerpo de agua. 2. Atravesar un lugar denso, usado en contéxto bélico. </t>
  </si>
  <si>
    <t>1. Dra.II.310. "Lest laikhií ynaií ô núehrrikh nhurest " (De vuelta a su mundo y tiburones ahora)</t>
  </si>
  <si>
    <t xml:space="preserve">1. Mundo. </t>
  </si>
  <si>
    <t xml:space="preserve">Entre, dentro </t>
  </si>
  <si>
    <t>Úan (+acc)</t>
  </si>
  <si>
    <t>Ventana</t>
  </si>
  <si>
    <t>Agatha</t>
  </si>
  <si>
    <t xml:space="preserve">1. Ventana, ventanal. </t>
  </si>
  <si>
    <t xml:space="preserve">(cla.) Del pr.an. "agas", agujero, espacio. </t>
  </si>
  <si>
    <t>Agís</t>
  </si>
  <si>
    <t>Agujero, hoyo</t>
  </si>
  <si>
    <t xml:space="preserve">1. Agujero, hoyo, espacio vacío. </t>
  </si>
  <si>
    <t xml:space="preserve">(cla(cla.) Del pr.an. "agas", agujero, espacio. </t>
  </si>
  <si>
    <t>agas</t>
  </si>
  <si>
    <t>vacio, agujero</t>
  </si>
  <si>
    <t>Puerto</t>
  </si>
  <si>
    <t xml:space="preserve">1. Puerto, lugar donde atracan los navíos en una ciudad. </t>
  </si>
  <si>
    <t>Alszúa</t>
  </si>
  <si>
    <t xml:space="preserve">(cla.) Palabra alfabética. Las A son los fuegos del faro. La s y z indican barcos, atracados, dentro de la seguredad del puerto. Proviene de los dibujos que indicaban "puerto" con estos logos. </t>
  </si>
  <si>
    <t>1. Dra.II.311. "Alszúakhur jaeshiníshai Suháriur." (De los puertos esbeltos de zafiro)</t>
  </si>
  <si>
    <t>2. Dra.II.311. "Alszúakhur jaeshiníshai Suháriur." (De los puertos esbeltos de zafiro)</t>
  </si>
  <si>
    <t>hoja</t>
  </si>
  <si>
    <t>anhe</t>
  </si>
  <si>
    <t xml:space="preserve">1. ψυχη. Alma, presencia incorpórea de un dráur, que se cree inmortal y que se cultiva en Líthanir para bajar a Úthanir después de la muerte del cuerpo. Representada en el pecho.  2. Identidad de un dráur, individualidad. El "ser".
</t>
  </si>
  <si>
    <t xml:space="preserve">1. Állá Telínie, 3. "A, Ethredlinur anhé" (Oh, de Ethredlin alma). 2. Dra. VII.274-275 "bannisulth/linagaí lailet anheé" (rindiendo libremente su propia alma)
</t>
  </si>
  <si>
    <r>
      <t>Túiris his íanáu síverir his tíis</t>
    </r>
    <r>
      <rPr>
        <sz val="8"/>
        <color theme="1"/>
        <rFont val="Calibri"/>
        <family val="2"/>
      </rPr>
      <t> </t>
    </r>
  </si>
  <si>
    <t>Aliriotis Lerthur, (ha) síla nehií</t>
  </si>
  <si>
    <r>
      <t>Siíthír hall menikh rié thijrale</t>
    </r>
    <r>
      <rPr>
        <sz val="8"/>
        <color theme="1"/>
        <rFont val="Calibri"/>
        <family val="2"/>
      </rPr>
      <t> </t>
    </r>
  </si>
  <si>
    <r>
      <t xml:space="preserve">Berrlulth eszakhe zedrur. (Uíl) </t>
    </r>
    <r>
      <rPr>
        <sz val="8"/>
        <color theme="1"/>
        <rFont val="Calibri"/>
        <family val="2"/>
      </rPr>
      <t> </t>
    </r>
    <r>
      <rPr>
        <i/>
        <sz val="12"/>
        <color theme="1"/>
        <rFont val="Baskerville Old Face"/>
        <family val="1"/>
      </rPr>
      <t>eszuri</t>
    </r>
  </si>
  <si>
    <t>Vygíair nhurest hit khatiute masthur</t>
  </si>
  <si>
    <t>Nes tináu emiún shifabulth líalluri</t>
  </si>
  <si>
    <t>Vygíulth fedretis his Mitrilurur</t>
  </si>
  <si>
    <r>
      <t xml:space="preserve">Aví </t>
    </r>
    <r>
      <rPr>
        <sz val="8"/>
        <color theme="1"/>
        <rFont val="Calibri"/>
        <family val="2"/>
      </rPr>
      <t> </t>
    </r>
    <r>
      <rPr>
        <i/>
        <sz val="12"/>
        <color theme="1"/>
        <rFont val="Baskerville Old Face"/>
        <family val="1"/>
      </rPr>
      <t>hit kobenhe terentuthur</t>
    </r>
  </si>
  <si>
    <r>
      <t>Júusir, takhunkulth delendur</t>
    </r>
    <r>
      <rPr>
        <sz val="8"/>
        <color theme="1"/>
        <rFont val="Calibri"/>
        <family val="2"/>
      </rPr>
      <t> </t>
    </r>
    <r>
      <rPr>
        <i/>
        <sz val="12"/>
        <color theme="1"/>
        <rFont val="Baskerville Old Face"/>
        <family val="1"/>
      </rPr>
      <t xml:space="preserve"> tarish</t>
    </r>
  </si>
  <si>
    <r>
      <t>thilernarrií terentidithuthe</t>
    </r>
    <r>
      <rPr>
        <sz val="8"/>
        <color theme="1"/>
        <rFont val="Calibri"/>
        <family val="2"/>
      </rPr>
      <t> </t>
    </r>
    <r>
      <rPr>
        <i/>
        <sz val="12"/>
        <color theme="1"/>
        <rFont val="Baskerville Old Face"/>
        <family val="1"/>
      </rPr>
      <t xml:space="preserve"> . </t>
    </r>
  </si>
  <si>
    <r>
      <t>Thikh</t>
    </r>
    <r>
      <rPr>
        <sz val="8"/>
        <color theme="1"/>
        <rFont val="Calibri"/>
        <family val="2"/>
      </rPr>
      <t> </t>
    </r>
    <r>
      <rPr>
        <i/>
        <sz val="12"/>
        <color theme="1"/>
        <rFont val="Baskerville Old Face"/>
        <family val="1"/>
      </rPr>
      <t xml:space="preserve"> síiliúmir uíl meshuri ô pah </t>
    </r>
  </si>
  <si>
    <t xml:space="preserve">Theratrivath lekhikith padedir </t>
  </si>
  <si>
    <t>Hall nírle annanit Lerthur rráurrrulth hall</t>
  </si>
  <si>
    <r>
      <t xml:space="preserve">Masthale ríll kattarakhur </t>
    </r>
    <r>
      <rPr>
        <sz val="8"/>
        <color theme="1"/>
        <rFont val="Calibri"/>
        <family val="2"/>
      </rPr>
      <t> </t>
    </r>
    <r>
      <rPr>
        <i/>
        <sz val="12"/>
        <color theme="1"/>
        <rFont val="Baskerville Old Face"/>
        <family val="1"/>
      </rPr>
      <t>riéé</t>
    </r>
  </si>
  <si>
    <t>Síveriur béannis khoranis soeníau</t>
  </si>
  <si>
    <r>
      <t xml:space="preserve">Ríll sarakhur rráurrií </t>
    </r>
    <r>
      <rPr>
        <sz val="8"/>
        <color theme="1"/>
        <rFont val="Calibri"/>
        <family val="2"/>
      </rPr>
      <t> </t>
    </r>
    <r>
      <rPr>
        <i/>
        <sz val="12"/>
        <color theme="1"/>
        <rFont val="Baskerville Old Face"/>
        <family val="1"/>
      </rPr>
      <t>hapsí aléi</t>
    </r>
  </si>
  <si>
    <r>
      <t> </t>
    </r>
    <r>
      <rPr>
        <sz val="10"/>
        <color theme="1"/>
        <rFont val="Calibri"/>
        <family val="2"/>
      </rPr>
      <t xml:space="preserve">Tuirís y tiis: aliteración, mostrando la similitud entre príncipe y primero. </t>
    </r>
  </si>
  <si>
    <r>
      <t> </t>
    </r>
    <r>
      <rPr>
        <sz val="10"/>
        <color theme="1"/>
        <rFont val="Calibri"/>
        <family val="2"/>
      </rPr>
      <t xml:space="preserve">Nótese la aliteracion, “thrijale”, lanza, y “ithír”, clavar, cuya raíz viene de lanza. </t>
    </r>
  </si>
  <si>
    <r>
      <t> </t>
    </r>
    <r>
      <rPr>
        <sz val="10"/>
        <color theme="1"/>
        <rFont val="Calibri"/>
        <family val="2"/>
      </rPr>
      <t>Uíl sale por métrica, y porque en este caso el dativo sobre lágrima (esza) es suficiente para indicar condición de “con.”</t>
    </r>
  </si>
  <si>
    <r>
      <t> </t>
    </r>
    <r>
      <rPr>
        <sz val="10"/>
        <color theme="1"/>
        <rFont val="Calibri"/>
        <family val="2"/>
      </rPr>
      <t>El “aví” puede aparecer para mostrar contraste, “entonces”, “cuando esto pasó”…. Se pone por razones de métrica</t>
    </r>
  </si>
  <si>
    <r>
      <t> </t>
    </r>
    <r>
      <rPr>
        <sz val="10"/>
        <color theme="1"/>
        <rFont val="Calibri"/>
        <family val="2"/>
      </rPr>
      <t>Expresión: arrancar del sueño (martillear fuera de sueño)</t>
    </r>
  </si>
  <si>
    <r>
      <t> </t>
    </r>
    <r>
      <rPr>
        <sz val="10"/>
        <color theme="1"/>
        <rFont val="Calibri"/>
        <family val="2"/>
      </rPr>
      <t xml:space="preserve">Juego de palabras y palabras en desorden. Tarish complementa a terentidithuthe, mientras que thilernarrií, en genitivo, complementa a delendur. El “tarish” es un chiasmo que prepara (lit. te lleva a las profundidades con el sonido de la t) para el verso extremadamente aliterativo que viene. </t>
    </r>
  </si>
  <si>
    <r>
      <t> </t>
    </r>
    <r>
      <rPr>
        <sz val="10"/>
        <color theme="1"/>
        <rFont val="Calibri"/>
        <family val="2"/>
      </rPr>
      <t xml:space="preserve">Seguimos con el juego de “th” y “t” con el teréntido. Aquí, con el “estos”. </t>
    </r>
  </si>
  <si>
    <r>
      <t> </t>
    </r>
    <r>
      <rPr>
        <sz val="10"/>
        <color theme="1"/>
        <rFont val="Calibri"/>
        <family val="2"/>
      </rPr>
      <t>En prosa, habria un “</t>
    </r>
    <r>
      <rPr>
        <i/>
        <sz val="10"/>
        <color theme="1"/>
        <rFont val="Calibri"/>
        <family val="2"/>
      </rPr>
      <t xml:space="preserve">laikhatheth”, sus propias, elidido aquí en aras de la poesía. Dos lineas abajo, pasa lo mismo. </t>
    </r>
  </si>
  <si>
    <r>
      <t> </t>
    </r>
    <r>
      <rPr>
        <sz val="10"/>
        <color theme="1"/>
        <rFont val="Calibri"/>
        <family val="2"/>
      </rPr>
      <t>Esta línea repite el “destripado”, que antes estaba con significdo de arrancar y la construcción de ríll</t>
    </r>
  </si>
  <si>
    <t xml:space="preserve">El primero en llegar había sido el príncipe </t>
  </si>
  <si>
    <t xml:space="preserve">Aliriotis de Lertha, cuyo navío había </t>
  </si>
  <si>
    <t xml:space="preserve">hendido las olas como una lanza, vertiendo </t>
  </si>
  <si>
    <t xml:space="preserve">lágrimas de espuma. Con lágrimas contaba </t>
  </si>
  <si>
    <t xml:space="preserve">él ahora el fin de su isla, que él mismo </t>
  </si>
  <si>
    <t xml:space="preserve">había visto desde el horizonte, regresando </t>
  </si>
  <si>
    <t xml:space="preserve">al hogar con canciones jubilosas cuando el </t>
  </si>
  <si>
    <t xml:space="preserve">Mitriluro sopló el cuerno de las </t>
  </si>
  <si>
    <t xml:space="preserve">profundidades, arrancando de su sueño </t>
  </si>
  <si>
    <t xml:space="preserve">milenario a teréntidos abisales. Estos se </t>
  </si>
  <si>
    <t xml:space="preserve">habían levantado con el Mar, y sus </t>
  </si>
  <si>
    <t xml:space="preserve">tentáculos se habían enroscado alrededor </t>
  </si>
  <si>
    <t xml:space="preserve">de la montaña más alta de Lertha, </t>
  </si>
  <si>
    <t xml:space="preserve">arrancando la isla de sus raíces como si </t>
  </si>
  <si>
    <r>
      <t>hubiera sido un tozudo abeto,</t>
    </r>
    <r>
      <rPr>
        <sz val="11"/>
        <color theme="1"/>
        <rFont val="Calibri"/>
        <family val="2"/>
      </rPr>
      <t xml:space="preserve"> </t>
    </r>
    <r>
      <rPr>
        <i/>
        <sz val="12"/>
        <color theme="1"/>
        <rFont val="Baskerville Old Face"/>
        <family val="1"/>
      </rPr>
      <t>habiendo de</t>
    </r>
  </si>
  <si>
    <t xml:space="preserve">tirar de su tronco destripado varias veces </t>
  </si>
  <si>
    <t>Primero este que llegó había sido el príncipe</t>
  </si>
  <si>
    <t>Aliriotis de Lertha, (la) nave de quién</t>
  </si>
  <si>
    <t>Había hendido las olas como una lanza</t>
  </si>
  <si>
    <t>Vertiendo lágrimas de espuma. Con lágrimas</t>
  </si>
  <si>
    <t>Cantó ahora el fin de (su) isla</t>
  </si>
  <si>
    <t>Que él vio de lejos. Regresando al hogar,</t>
  </si>
  <si>
    <t>Cantando orgulloso, el Mitriluro</t>
  </si>
  <si>
    <t>Así el cuerno de profundidades</t>
  </si>
  <si>
    <t xml:space="preserve">Sopló, arrancando del sueño abisales </t>
  </si>
  <si>
    <t>a teréntidos milenario.</t>
  </si>
  <si>
    <t>Estos se habían levantado con el mar y mientras</t>
  </si>
  <si>
    <t>Sus tentáculos abrazaban</t>
  </si>
  <si>
    <t>La montaña más alta de Lertha arrancando la</t>
  </si>
  <si>
    <t>Isla de sus propias raíces como si</t>
  </si>
  <si>
    <r>
      <t xml:space="preserve">Hubiera sido </t>
    </r>
    <r>
      <rPr>
        <sz val="8"/>
        <color theme="1"/>
        <rFont val="Calibri"/>
        <family val="2"/>
      </rPr>
      <t> </t>
    </r>
    <r>
      <rPr>
        <i/>
        <sz val="12"/>
        <color theme="1"/>
        <rFont val="Baskerville Old Face"/>
        <family val="1"/>
      </rPr>
      <t>un árbol tozudo que se zarandeó</t>
    </r>
  </si>
  <si>
    <t xml:space="preserve">Por el tronco destripado mucho hasta </t>
  </si>
  <si>
    <r>
      <t> </t>
    </r>
    <r>
      <rPr>
        <sz val="10"/>
        <color theme="1"/>
        <rFont val="Calibri"/>
        <family val="2"/>
      </rPr>
      <t xml:space="preserve">Draurir no tiene condicional. Condición se indica, en este caso, con riéé + subj. El uso del plu.perfecto en subjuntivo es poco comun y remarca la nostalgia y dramatismo del arbol caido.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</si>
</sst>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1"/>
      <name val="Aptos Narrow"/>
      <family val="2"/>
      <scheme val="minor"/>
    </font>
    <font>
      <b/>
      <sz val="11"/>
      <name val="Aptos Narrow"/>
      <family val="2"/>
      <scheme val="minor"/>
    </font>
    <font>
      <sz val="11"/>
      <name val="Aptos Narrow"/>
      <family val="2"/>
      <scheme val="minor"/>
    </font>
    <font>
      <sz val="11"/>
      <color rgb="FFFF0000"/>
      <name val="Aptos Narrow"/>
      <family val="2"/>
      <scheme val="minor"/>
    </font>
    <font>
      <b/>
      <sz val="11"/>
      <color theme="0"/>
      <name val="Aptos Narrow"/>
      <family val="2"/>
      <scheme val="minor"/>
    </font>
    <font>
      <sz val="8"/>
      <name val="Aptos Narrow"/>
      <family val="2"/>
      <scheme val="minor"/>
    </font>
    <font>
      <i/>
      <sz val="11"/>
      <color theme="1"/>
      <name val="Aptos Narrow"/>
      <family val="2"/>
      <scheme val="minor"/>
    </font>
    <font>
      <i/>
      <sz val="11"/>
      <name val="Aptos Narrow"/>
      <family val="2"/>
      <scheme val="minor"/>
    </font>
    <font>
      <b/>
      <i/>
      <sz val="11"/>
      <color theme="1"/>
      <name val="Aptos Narrow"/>
      <family val="2"/>
      <scheme val="minor"/>
    </font>
    <font>
      <b/>
      <sz val="16"/>
      <color theme="1"/>
      <name val="Aptos Narrow"/>
      <family val="2"/>
      <scheme val="minor"/>
    </font>
    <font>
      <sz val="11"/>
      <color theme="1"/>
      <name val="Aptos Narrow"/>
      <family val="2"/>
      <scheme val="minor"/>
    </font>
    <font>
      <sz val="12"/>
      <color theme="1"/>
      <name val="Aptos Narrow"/>
      <family val="2"/>
      <scheme val="minor"/>
    </font>
    <font>
      <sz val="14"/>
      <color theme="1"/>
      <name val="Aptos Narrow"/>
      <family val="2"/>
      <scheme val="minor"/>
    </font>
    <font>
      <sz val="12"/>
      <color theme="1"/>
      <name val="Cambria"/>
      <family val="1"/>
    </font>
    <font>
      <b/>
      <sz val="24"/>
      <color theme="1"/>
      <name val="Felix Titling"/>
      <family val="5"/>
    </font>
    <font>
      <sz val="11"/>
      <color theme="1"/>
      <name val="Felix Titling"/>
      <family val="5"/>
    </font>
    <font>
      <b/>
      <sz val="12"/>
      <color theme="1"/>
      <name val="Cambria"/>
      <family val="1"/>
    </font>
    <font>
      <i/>
      <sz val="12"/>
      <color theme="1"/>
      <name val="Cambria"/>
      <family val="1"/>
    </font>
    <font>
      <b/>
      <sz val="28"/>
      <color theme="1" tint="0.249977111117893"/>
      <name val="Felix Titling"/>
      <family val="5"/>
    </font>
    <font>
      <sz val="11"/>
      <color rgb="FF000000"/>
      <name val="Aptos Narrow"/>
      <family val="2"/>
    </font>
    <font>
      <sz val="18"/>
      <color theme="1"/>
      <name val="Centaur"/>
      <family val="1"/>
    </font>
    <font>
      <b/>
      <sz val="11"/>
      <color theme="1"/>
      <name val="Crimson"/>
    </font>
    <font>
      <sz val="11"/>
      <color theme="1"/>
      <name val="Crimson"/>
    </font>
    <font>
      <b/>
      <sz val="11"/>
      <color theme="0"/>
      <name val="Crimson"/>
    </font>
    <font>
      <sz val="11"/>
      <color theme="2" tint="-0.499984740745262"/>
      <name val="Aptos Narrow"/>
      <family val="2"/>
      <scheme val="minor"/>
    </font>
    <font>
      <sz val="11"/>
      <color theme="8" tint="-0.249977111117893"/>
      <name val="Aptos Narrow"/>
      <family val="2"/>
      <scheme val="minor"/>
    </font>
    <font>
      <b/>
      <sz val="12"/>
      <color rgb="FF000000"/>
      <name val="Cambria"/>
    </font>
    <font>
      <sz val="11"/>
      <color theme="1"/>
      <name val="Calibri"/>
      <family val="2"/>
    </font>
    <font>
      <i/>
      <sz val="12"/>
      <color theme="1"/>
      <name val="Baskerville Old Face"/>
      <family val="1"/>
    </font>
    <font>
      <sz val="8"/>
      <color theme="1"/>
      <name val="Calibri"/>
      <family val="2"/>
    </font>
    <font>
      <sz val="10"/>
      <color theme="1"/>
      <name val="Calibri"/>
      <family val="2"/>
    </font>
    <font>
      <i/>
      <sz val="10"/>
      <color theme="1"/>
      <name val="Calibri"/>
      <family val="2"/>
    </font>
  </fonts>
  <fills count="11">
    <fill>
      <patternFill patternType="none"/>
    </fill>
    <fill>
      <patternFill patternType="gray125"/>
    </fill>
    <fill>
      <patternFill patternType="solid">
        <fgColor theme="2" tint="-0.249977111117893"/>
        <bgColor indexed="64"/>
      </patternFill>
    </fill>
    <fill>
      <patternFill patternType="solid">
        <fgColor theme="2" tint="-9.9978637043366805E-2"/>
        <bgColor indexed="64"/>
      </patternFill>
    </fill>
    <fill>
      <patternFill patternType="solid">
        <fgColor rgb="FFA5A5A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4" tint="0.79998168889431442"/>
        <bgColor indexed="64"/>
      </patternFill>
    </fill>
    <fill>
      <patternFill patternType="solid">
        <fgColor rgb="FFE3D9CF"/>
        <bgColor indexed="64"/>
      </patternFill>
    </fill>
    <fill>
      <patternFill patternType="solid">
        <fgColor rgb="FFAD8C67"/>
        <bgColor indexed="64"/>
      </patternFill>
    </fill>
  </fills>
  <borders count="5">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thin">
        <color theme="4" tint="0.39997558519241921"/>
      </bottom>
      <diagonal/>
    </border>
  </borders>
  <cellStyleXfs count="5">
    <xf numFmtId="0" fontId="0" fillId="0" borderId="0"/>
    <xf numFmtId="0" fontId="5" fillId="4" borderId="3" applyNumberFormat="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cellStyleXfs>
  <cellXfs count="52">
    <xf numFmtId="0" fontId="0" fillId="0" borderId="0" xfId="0"/>
    <xf numFmtId="0" fontId="1" fillId="0" borderId="0" xfId="0" applyFont="1"/>
    <xf numFmtId="0" fontId="2" fillId="0" borderId="0" xfId="0" applyFont="1"/>
    <xf numFmtId="0" fontId="3" fillId="0" borderId="0" xfId="0" applyFont="1"/>
    <xf numFmtId="0" fontId="0" fillId="3" borderId="1" xfId="0" applyFill="1" applyBorder="1"/>
    <xf numFmtId="0" fontId="0" fillId="2" borderId="1" xfId="0" applyFill="1" applyBorder="1"/>
    <xf numFmtId="0" fontId="0" fillId="0" borderId="0" xfId="0" quotePrefix="1"/>
    <xf numFmtId="0" fontId="0" fillId="2" borderId="2" xfId="0" applyFill="1" applyBorder="1"/>
    <xf numFmtId="0" fontId="0" fillId="3" borderId="2" xfId="0" applyFill="1" applyBorder="1"/>
    <xf numFmtId="0" fontId="10" fillId="0" borderId="0" xfId="0" applyFont="1" applyAlignment="1">
      <alignment horizontal="center"/>
    </xf>
    <xf numFmtId="0" fontId="0" fillId="0" borderId="0" xfId="0" applyAlignment="1">
      <alignment wrapText="1"/>
    </xf>
    <xf numFmtId="0" fontId="0" fillId="0" borderId="0" xfId="0" applyAlignment="1">
      <alignment shrinkToFit="1"/>
    </xf>
    <xf numFmtId="0" fontId="11" fillId="8" borderId="0" xfId="4" applyFill="1"/>
    <xf numFmtId="0" fontId="14" fillId="8" borderId="0" xfId="4" applyFont="1" applyFill="1" applyAlignment="1">
      <alignment vertical="center"/>
    </xf>
    <xf numFmtId="0" fontId="14" fillId="8" borderId="0" xfId="4" applyFont="1" applyFill="1"/>
    <xf numFmtId="0" fontId="17" fillId="8" borderId="0" xfId="4" applyFont="1" applyFill="1" applyAlignment="1">
      <alignment wrapText="1"/>
    </xf>
    <xf numFmtId="0" fontId="14" fillId="8" borderId="0" xfId="4" applyFont="1" applyFill="1" applyAlignment="1">
      <alignment wrapText="1"/>
    </xf>
    <xf numFmtId="0" fontId="17" fillId="8" borderId="0" xfId="4" applyFont="1" applyFill="1"/>
    <xf numFmtId="0" fontId="12" fillId="8" borderId="0" xfId="4" applyFont="1" applyFill="1"/>
    <xf numFmtId="0" fontId="7" fillId="8" borderId="0" xfId="3" applyFont="1" applyFill="1"/>
    <xf numFmtId="0" fontId="18" fillId="8" borderId="0" xfId="4" applyFont="1" applyFill="1"/>
    <xf numFmtId="0" fontId="13" fillId="5" borderId="0" xfId="2" applyFont="1" applyAlignment="1">
      <alignment horizontal="center" vertical="center"/>
    </xf>
    <xf numFmtId="0" fontId="0" fillId="9" borderId="0" xfId="0" applyFill="1"/>
    <xf numFmtId="0" fontId="0" fillId="9" borderId="0" xfId="0" applyFill="1" applyAlignment="1">
      <alignment wrapText="1"/>
    </xf>
    <xf numFmtId="0" fontId="11" fillId="9" borderId="0" xfId="4" applyFill="1"/>
    <xf numFmtId="0" fontId="14" fillId="9" borderId="0" xfId="4" applyFont="1" applyFill="1" applyAlignment="1">
      <alignment vertical="center"/>
    </xf>
    <xf numFmtId="0" fontId="14" fillId="9" borderId="0" xfId="4" applyFont="1" applyFill="1"/>
    <xf numFmtId="0" fontId="17" fillId="9" borderId="0" xfId="4" applyFont="1" applyFill="1" applyAlignment="1">
      <alignment wrapText="1"/>
    </xf>
    <xf numFmtId="0" fontId="14" fillId="9" borderId="0" xfId="4" applyFont="1" applyFill="1" applyAlignment="1">
      <alignment wrapText="1"/>
    </xf>
    <xf numFmtId="0" fontId="0" fillId="9" borderId="0" xfId="0" applyFill="1" applyAlignment="1">
      <alignment shrinkToFit="1"/>
    </xf>
    <xf numFmtId="0" fontId="17" fillId="9" borderId="0" xfId="4" applyFont="1" applyFill="1"/>
    <xf numFmtId="0" fontId="12" fillId="9" borderId="0" xfId="4" applyFont="1" applyFill="1"/>
    <xf numFmtId="0" fontId="21" fillId="10" borderId="0" xfId="2" applyFont="1" applyFill="1" applyAlignment="1">
      <alignment horizontal="center" vertical="center"/>
    </xf>
    <xf numFmtId="0" fontId="22" fillId="0" borderId="0" xfId="0" applyFont="1"/>
    <xf numFmtId="0" fontId="23" fillId="0" borderId="0" xfId="0" applyFont="1"/>
    <xf numFmtId="0" fontId="24" fillId="4" borderId="3" xfId="1" applyFont="1"/>
    <xf numFmtId="0" fontId="23" fillId="0" borderId="0" xfId="0" applyFont="1" applyAlignment="1">
      <alignment vertical="center"/>
    </xf>
    <xf numFmtId="0" fontId="25" fillId="0" borderId="0" xfId="0" applyFont="1"/>
    <xf numFmtId="0" fontId="4" fillId="0" borderId="0" xfId="0" applyFont="1"/>
    <xf numFmtId="0" fontId="1" fillId="2" borderId="4" xfId="0" applyFont="1" applyFill="1" applyBorder="1"/>
    <xf numFmtId="0" fontId="26" fillId="0" borderId="0" xfId="0" applyFont="1"/>
    <xf numFmtId="0" fontId="0" fillId="0" borderId="1" xfId="0" applyBorder="1" applyAlignment="1">
      <alignment horizontal="center"/>
    </xf>
    <xf numFmtId="0" fontId="10" fillId="0" borderId="0" xfId="0" quotePrefix="1" applyFont="1" applyAlignment="1">
      <alignment horizontal="center"/>
    </xf>
    <xf numFmtId="0" fontId="19" fillId="9" borderId="0" xfId="4" applyFont="1" applyFill="1" applyAlignment="1">
      <alignment horizontal="center" wrapText="1"/>
    </xf>
    <xf numFmtId="0" fontId="16" fillId="9" borderId="0" xfId="4" applyFont="1" applyFill="1" applyAlignment="1">
      <alignment horizontal="center" wrapText="1"/>
    </xf>
    <xf numFmtId="0" fontId="18" fillId="9" borderId="0" xfId="4" applyFont="1" applyFill="1" applyAlignment="1">
      <alignment horizontal="left" vertical="top" wrapText="1"/>
    </xf>
    <xf numFmtId="0" fontId="18" fillId="9" borderId="0" xfId="3" applyFont="1" applyFill="1" applyAlignment="1">
      <alignment horizontal="left" vertical="top" wrapText="1"/>
    </xf>
    <xf numFmtId="0" fontId="14" fillId="9" borderId="0" xfId="4" applyFont="1" applyFill="1" applyAlignment="1">
      <alignment horizontal="left" vertical="top" wrapText="1"/>
    </xf>
    <xf numFmtId="0" fontId="15" fillId="8" borderId="0" xfId="4" applyFont="1" applyFill="1" applyAlignment="1">
      <alignment horizontal="center" wrapText="1"/>
    </xf>
    <xf numFmtId="0" fontId="16" fillId="8" borderId="0" xfId="4" applyFont="1" applyFill="1" applyAlignment="1">
      <alignment horizontal="center" wrapText="1"/>
    </xf>
    <xf numFmtId="0" fontId="29" fillId="0" borderId="0" xfId="0" applyFont="1" applyAlignment="1">
      <alignment vertical="center"/>
    </xf>
    <xf numFmtId="0" fontId="30" fillId="0" borderId="0" xfId="0" applyFont="1" applyAlignment="1">
      <alignment vertical="center"/>
    </xf>
  </cellXfs>
  <cellStyles count="5">
    <cellStyle name="20% - Accent2" xfId="3" builtinId="34"/>
    <cellStyle name="20% - Accent3" xfId="4" builtinId="38"/>
    <cellStyle name="60% - Accent1" xfId="2" builtinId="32"/>
    <cellStyle name="Check Cell" xfId="1" builtinId="23"/>
    <cellStyle name="Normal" xfId="0" builtinId="0"/>
  </cellStyles>
  <dxfs count="38">
    <dxf>
      <font>
        <b/>
        <strike val="0"/>
        <outline val="0"/>
        <shadow val="0"/>
        <u val="none"/>
        <vertAlign val="baseline"/>
        <sz val="16"/>
        <color theme="1"/>
        <name val="Aptos Narrow"/>
        <family val="2"/>
        <scheme val="minor"/>
      </font>
      <alignment horizontal="center" vertical="bottom" textRotation="0" wrapText="0" indent="0" justifyLastLine="0" shrinkToFit="0" readingOrder="0"/>
    </dxf>
    <dxf>
      <font>
        <b/>
        <strike val="0"/>
        <outline val="0"/>
        <shadow val="0"/>
        <u val="none"/>
        <vertAlign val="baseline"/>
        <sz val="16"/>
        <color theme="1"/>
        <name val="Aptos Narrow"/>
        <family val="2"/>
        <scheme val="minor"/>
      </font>
      <alignment horizontal="center" vertical="bottom" textRotation="0" wrapText="0" indent="0" justifyLastLine="0" shrinkToFit="0" readingOrder="0"/>
    </dxf>
    <dxf>
      <font>
        <b/>
        <strike val="0"/>
        <outline val="0"/>
        <shadow val="0"/>
        <u val="none"/>
        <vertAlign val="baseline"/>
        <sz val="16"/>
        <color theme="1"/>
        <name val="Aptos Narrow"/>
        <family val="2"/>
        <scheme val="minor"/>
      </font>
      <alignment horizontal="center" vertical="bottom" textRotation="0" wrapText="0" indent="0" justifyLastLine="0" shrinkToFit="0" readingOrder="0"/>
    </dxf>
    <dxf>
      <fill>
        <patternFill patternType="solid">
          <fgColor indexed="64"/>
          <bgColor theme="2" tint="-9.9978637043366805E-2"/>
        </patternFill>
      </fill>
      <border diagonalUp="0" diagonalDown="0" outline="0">
        <left style="medium">
          <color indexed="64"/>
        </left>
        <right style="medium">
          <color indexed="64"/>
        </right>
        <top style="medium">
          <color indexed="64"/>
        </top>
        <bottom/>
      </border>
    </dxf>
    <dxf>
      <fill>
        <patternFill patternType="solid">
          <fgColor indexed="64"/>
          <bgColor theme="2" tint="-9.9978637043366805E-2"/>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0.249977111117893"/>
        </patternFill>
      </fill>
      <border diagonalUp="0" diagonalDown="0" outline="0">
        <left style="medium">
          <color indexed="64"/>
        </left>
        <right style="medium">
          <color indexed="64"/>
        </right>
        <top style="medium">
          <color indexed="64"/>
        </top>
        <bottom/>
      </border>
    </dxf>
    <dxf>
      <fill>
        <patternFill patternType="solid">
          <fgColor indexed="64"/>
          <bgColor theme="2" tint="-0.249977111117893"/>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9.9978637043366805E-2"/>
        </patternFill>
      </fill>
      <border diagonalUp="0" diagonalDown="0" outline="0">
        <left style="medium">
          <color indexed="64"/>
        </left>
        <right style="medium">
          <color indexed="64"/>
        </right>
        <top style="medium">
          <color indexed="64"/>
        </top>
        <bottom/>
      </border>
    </dxf>
    <dxf>
      <fill>
        <patternFill patternType="solid">
          <fgColor indexed="64"/>
          <bgColor theme="2" tint="-9.9978637043366805E-2"/>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0.249977111117893"/>
        </patternFill>
      </fill>
      <border diagonalUp="0" diagonalDown="0" outline="0">
        <left style="medium">
          <color indexed="64"/>
        </left>
        <right style="medium">
          <color indexed="64"/>
        </right>
        <top style="medium">
          <color indexed="64"/>
        </top>
        <bottom/>
      </border>
    </dxf>
    <dxf>
      <fill>
        <patternFill patternType="solid">
          <fgColor indexed="64"/>
          <bgColor theme="2" tint="-0.249977111117893"/>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9.9978637043366805E-2"/>
        </patternFill>
      </fill>
      <border diagonalUp="0" diagonalDown="0" outline="0">
        <left style="medium">
          <color indexed="64"/>
        </left>
        <right style="medium">
          <color indexed="64"/>
        </right>
        <top style="medium">
          <color indexed="64"/>
        </top>
        <bottom/>
      </border>
    </dxf>
    <dxf>
      <fill>
        <patternFill patternType="solid">
          <fgColor indexed="64"/>
          <bgColor theme="2" tint="-9.9978637043366805E-2"/>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0.249977111117893"/>
        </patternFill>
      </fill>
      <border diagonalUp="0" diagonalDown="0" outline="0">
        <left style="medium">
          <color indexed="64"/>
        </left>
        <right style="medium">
          <color indexed="64"/>
        </right>
        <top style="medium">
          <color indexed="64"/>
        </top>
        <bottom/>
      </border>
    </dxf>
    <dxf>
      <fill>
        <patternFill patternType="solid">
          <fgColor indexed="64"/>
          <bgColor theme="2" tint="-0.249977111117893"/>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9.9978637043366805E-2"/>
        </patternFill>
      </fill>
      <border diagonalUp="0" diagonalDown="0" outline="0">
        <left style="medium">
          <color indexed="64"/>
        </left>
        <right style="medium">
          <color indexed="64"/>
        </right>
        <top style="medium">
          <color indexed="64"/>
        </top>
        <bottom/>
      </border>
    </dxf>
    <dxf>
      <numFmt numFmtId="0" formatCode="General"/>
      <fill>
        <patternFill patternType="solid">
          <fgColor indexed="64"/>
          <bgColor theme="2" tint="-9.9978637043366805E-2"/>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0.249977111117893"/>
        </patternFill>
      </fill>
      <border diagonalUp="0" diagonalDown="0" outline="0">
        <left style="medium">
          <color indexed="64"/>
        </left>
        <right style="medium">
          <color indexed="64"/>
        </right>
        <top style="medium">
          <color indexed="64"/>
        </top>
        <bottom/>
      </border>
    </dxf>
    <dxf>
      <fill>
        <patternFill patternType="solid">
          <fgColor indexed="64"/>
          <bgColor theme="2" tint="-0.249977111117893"/>
        </patternFill>
      </fill>
      <border diagonalUp="0" diagonalDown="0">
        <left style="medium">
          <color indexed="64"/>
        </left>
        <right style="medium">
          <color indexed="64"/>
        </right>
        <top style="medium">
          <color indexed="64"/>
        </top>
        <bottom style="medium">
          <color indexed="64"/>
        </bottom>
        <vertical/>
        <horizontal/>
      </border>
    </dxf>
    <dxf>
      <fill>
        <patternFill patternType="solid">
          <fgColor indexed="64"/>
          <bgColor theme="2" tint="-9.9978637043366805E-2"/>
        </patternFill>
      </fill>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auto="1"/>
        <name val="Aptos Narrow"/>
        <family val="2"/>
        <scheme val="minor"/>
      </font>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auto="1"/>
        <name val="Aptos Narrow"/>
        <family val="2"/>
        <scheme val="minor"/>
      </font>
    </dxf>
    <dxf>
      <font>
        <b val="0"/>
        <i val="0"/>
        <strike val="0"/>
        <condense val="0"/>
        <extend val="0"/>
        <outline val="0"/>
        <shadow val="0"/>
        <u val="none"/>
        <vertAlign val="baseline"/>
        <sz val="11"/>
        <color theme="2" tint="-0.499984740745262"/>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auto="1"/>
        <name val="Aptos Narrow"/>
        <family val="2"/>
        <scheme val="minor"/>
      </font>
    </dxf>
    <dxf>
      <numFmt numFmtId="0" formatCode="General"/>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Crimson"/>
        <scheme val="none"/>
      </font>
    </dxf>
    <dxf>
      <font>
        <b val="0"/>
        <i val="0"/>
        <strike val="0"/>
        <condense val="0"/>
        <extend val="0"/>
        <outline val="0"/>
        <shadow val="0"/>
        <u val="none"/>
        <vertAlign val="baseline"/>
        <sz val="11"/>
        <color theme="1"/>
        <name val="Crimson"/>
        <scheme val="none"/>
      </font>
    </dxf>
    <dxf>
      <font>
        <b val="0"/>
        <i val="0"/>
        <strike val="0"/>
        <condense val="0"/>
        <extend val="0"/>
        <outline val="0"/>
        <shadow val="0"/>
        <u val="none"/>
        <vertAlign val="baseline"/>
        <sz val="11"/>
        <color theme="1"/>
        <name val="Crimson"/>
        <scheme val="none"/>
      </font>
    </dxf>
  </dxfs>
  <tableStyles count="0" defaultTableStyle="TableStyleMedium2" defaultPivotStyle="PivotStyleLight16"/>
  <colors>
    <mruColors>
      <color rgb="FFE3D9CF"/>
      <color rgb="FFC9B6A3"/>
      <color rgb="FFEFE8E1"/>
      <color rgb="FFAD8C67"/>
      <color rgb="FFE4D8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sharedStrings" Target="sharedStrings.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923925</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Cambria"/>
                  <a:ea typeface="Cambria"/>
                </a:rPr>
                <a:t>Busca</a:t>
              </a:r>
            </a:p>
          </xdr:txBody>
        </xdr:sp>
        <xdr:clientData fPrintsWithSheet="0"/>
      </xdr:twoCellAnchor>
    </mc:Choice>
    <mc:Fallback/>
  </mc:AlternateContent>
  <xdr:twoCellAnchor editAs="oneCell">
    <xdr:from>
      <xdr:col>1</xdr:col>
      <xdr:colOff>1085851</xdr:colOff>
      <xdr:row>7</xdr:row>
      <xdr:rowOff>30065</xdr:rowOff>
    </xdr:from>
    <xdr:to>
      <xdr:col>2</xdr:col>
      <xdr:colOff>933450</xdr:colOff>
      <xdr:row>32</xdr:row>
      <xdr:rowOff>150329</xdr:rowOff>
    </xdr:to>
    <xdr:pic>
      <xdr:nvPicPr>
        <xdr:cNvPr id="2" name="Picture 1">
          <a:extLst>
            <a:ext uri="{FF2B5EF4-FFF2-40B4-BE49-F238E27FC236}">
              <a16:creationId xmlns:a16="http://schemas.microsoft.com/office/drawing/2014/main" id="{F735C7A0-87C7-40C7-8BBF-57E5E343D8F9}"/>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4196" b="99301" l="4982" r="96085">
                      <a14:foregroundMark x1="18327" y1="1865" x2="22242" y2="12238"/>
                      <a14:foregroundMark x1="22242" y1="12238" x2="22598" y2="4312"/>
                      <a14:foregroundMark x1="11922" y1="26807" x2="16370" y2="38695"/>
                      <a14:foregroundMark x1="16370" y1="38695" x2="34520" y2="43823"/>
                      <a14:foregroundMark x1="34520" y1="43823" x2="52491" y2="53497"/>
                      <a14:foregroundMark x1="52491" y1="53497" x2="53025" y2="65152"/>
                      <a14:foregroundMark x1="53025" y1="65152" x2="54982" y2="66667"/>
                      <a14:foregroundMark x1="43950" y1="52797" x2="36299" y2="46853"/>
                      <a14:foregroundMark x1="36299" y1="46853" x2="32384" y2="38928"/>
                      <a14:foregroundMark x1="32384" y1="38928" x2="37367" y2="41841"/>
                      <a14:foregroundMark x1="3737" y1="87179" x2="23132" y2="89977"/>
                      <a14:foregroundMark x1="23132" y1="89977" x2="35765" y2="87995"/>
                      <a14:foregroundMark x1="35765" y1="87995" x2="90925" y2="95105"/>
                      <a14:foregroundMark x1="90925" y1="95105" x2="96441" y2="93007"/>
                      <a14:foregroundMark x1="93238" y1="85198" x2="94128" y2="80886"/>
                      <a14:foregroundMark x1="68149" y1="97203" x2="67616" y2="99417"/>
                      <a14:foregroundMark x1="53025" y1="92191" x2="46975" y2="92424"/>
                      <a14:foregroundMark x1="23132" y1="95688" x2="32384" y2="91492"/>
                      <a14:foregroundMark x1="8007" y1="88345" x2="4982" y2="86713"/>
                      <a14:foregroundMark x1="11744" y1="17716" x2="14591" y2="19114"/>
                      <a14:foregroundMark x1="53381" y1="25291" x2="61566" y2="25991"/>
                      <a14:foregroundMark x1="77224" y1="68415" x2="80427" y2="66900"/>
                      <a14:foregroundMark x1="83452" y1="71212" x2="87011" y2="69930"/>
                      <a14:foregroundMark x1="51601" y1="92308" x2="52313" y2="94289"/>
                      <a14:foregroundMark x1="32918" y1="94289" x2="35587" y2="93939"/>
                      <a14:foregroundMark x1="93416" y1="82168" x2="92171" y2="81002"/>
                    </a14:backgroundRemoval>
                  </a14:imgEffect>
                </a14:imgLayer>
              </a14:imgProps>
            </a:ext>
            <a:ext uri="{28A0092B-C50C-407E-A947-70E740481C1C}">
              <a14:useLocalDpi xmlns:a14="http://schemas.microsoft.com/office/drawing/2010/main" val="0"/>
            </a:ext>
          </a:extLst>
        </a:blip>
        <a:srcRect/>
        <a:stretch>
          <a:fillRect/>
        </a:stretch>
      </xdr:blipFill>
      <xdr:spPr bwMode="auto">
        <a:xfrm>
          <a:off x="1085851" y="2354165"/>
          <a:ext cx="3400424" cy="5191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1838325</xdr:colOff>
      <xdr:row>7</xdr:row>
      <xdr:rowOff>28575</xdr:rowOff>
    </xdr:from>
    <xdr:to>
      <xdr:col>8</xdr:col>
      <xdr:colOff>561974</xdr:colOff>
      <xdr:row>32</xdr:row>
      <xdr:rowOff>148839</xdr:rowOff>
    </xdr:to>
    <xdr:pic>
      <xdr:nvPicPr>
        <xdr:cNvPr id="3" name="Picture 2">
          <a:extLst>
            <a:ext uri="{FF2B5EF4-FFF2-40B4-BE49-F238E27FC236}">
              <a16:creationId xmlns:a16="http://schemas.microsoft.com/office/drawing/2014/main" id="{375A17B2-A463-4219-A859-A19E433E50BA}"/>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4196" b="99301" l="4982" r="96085">
                      <a14:foregroundMark x1="18327" y1="1865" x2="22242" y2="12238"/>
                      <a14:foregroundMark x1="22242" y1="12238" x2="22598" y2="4312"/>
                      <a14:foregroundMark x1="11922" y1="26807" x2="16370" y2="38695"/>
                      <a14:foregroundMark x1="16370" y1="38695" x2="34520" y2="43823"/>
                      <a14:foregroundMark x1="34520" y1="43823" x2="52491" y2="53497"/>
                      <a14:foregroundMark x1="52491" y1="53497" x2="53025" y2="65152"/>
                      <a14:foregroundMark x1="53025" y1="65152" x2="54982" y2="66667"/>
                      <a14:foregroundMark x1="43950" y1="52797" x2="36299" y2="46853"/>
                      <a14:foregroundMark x1="36299" y1="46853" x2="32384" y2="38928"/>
                      <a14:foregroundMark x1="32384" y1="38928" x2="37367" y2="41841"/>
                      <a14:foregroundMark x1="3737" y1="87179" x2="23132" y2="89977"/>
                      <a14:foregroundMark x1="23132" y1="89977" x2="35765" y2="87995"/>
                      <a14:foregroundMark x1="35765" y1="87995" x2="90925" y2="95105"/>
                      <a14:foregroundMark x1="90925" y1="95105" x2="96441" y2="93007"/>
                      <a14:foregroundMark x1="93238" y1="85198" x2="94128" y2="80886"/>
                      <a14:foregroundMark x1="68149" y1="97203" x2="67616" y2="99417"/>
                      <a14:foregroundMark x1="53025" y1="92191" x2="46975" y2="92424"/>
                      <a14:foregroundMark x1="23132" y1="95688" x2="32384" y2="91492"/>
                      <a14:foregroundMark x1="8007" y1="88345" x2="4982" y2="86713"/>
                      <a14:foregroundMark x1="11744" y1="17716" x2="14591" y2="19114"/>
                      <a14:foregroundMark x1="53381" y1="25291" x2="61566" y2="25991"/>
                      <a14:foregroundMark x1="77224" y1="68415" x2="80427" y2="66900"/>
                      <a14:foregroundMark x1="83452" y1="71212" x2="87011" y2="69930"/>
                      <a14:foregroundMark x1="51601" y1="92308" x2="52313" y2="94289"/>
                      <a14:foregroundMark x1="32918" y1="94289" x2="35587" y2="93939"/>
                      <a14:foregroundMark x1="93416" y1="82168" x2="92171" y2="81002"/>
                    </a14:backgroundRemoval>
                  </a14:imgEffect>
                </a14:imgLayer>
              </a14:imgProps>
            </a:ext>
            <a:ext uri="{28A0092B-C50C-407E-A947-70E740481C1C}">
              <a14:useLocalDpi xmlns:a14="http://schemas.microsoft.com/office/drawing/2010/main" val="0"/>
            </a:ext>
          </a:extLst>
        </a:blip>
        <a:srcRect/>
        <a:stretch>
          <a:fillRect/>
        </a:stretch>
      </xdr:blipFill>
      <xdr:spPr bwMode="auto">
        <a:xfrm flipH="1">
          <a:off x="10896600" y="2352675"/>
          <a:ext cx="3400424" cy="5191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1819275</xdr:colOff>
      <xdr:row>4</xdr:row>
      <xdr:rowOff>19050</xdr:rowOff>
    </xdr:from>
    <xdr:to>
      <xdr:col>7</xdr:col>
      <xdr:colOff>561975</xdr:colOff>
      <xdr:row>4</xdr:row>
      <xdr:rowOff>64769</xdr:rowOff>
    </xdr:to>
    <xdr:sp macro="" textlink="">
      <xdr:nvSpPr>
        <xdr:cNvPr id="4" name="Rectangle 3">
          <a:extLst>
            <a:ext uri="{FF2B5EF4-FFF2-40B4-BE49-F238E27FC236}">
              <a16:creationId xmlns:a16="http://schemas.microsoft.com/office/drawing/2014/main" id="{EA524206-A087-CF5A-D2E1-E65967E5BA56}"/>
            </a:ext>
          </a:extLst>
        </xdr:cNvPr>
        <xdr:cNvSpPr/>
      </xdr:nvSpPr>
      <xdr:spPr>
        <a:xfrm>
          <a:off x="1819275" y="1647825"/>
          <a:ext cx="11791950" cy="45719"/>
        </a:xfrm>
        <a:prstGeom prst="rect">
          <a:avLst/>
        </a:prstGeom>
        <a:solidFill>
          <a:srgbClr val="EFE8E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1820227</xdr:colOff>
      <xdr:row>4</xdr:row>
      <xdr:rowOff>37148</xdr:rowOff>
    </xdr:from>
    <xdr:to>
      <xdr:col>1</xdr:col>
      <xdr:colOff>1865946</xdr:colOff>
      <xdr:row>7</xdr:row>
      <xdr:rowOff>76201</xdr:rowOff>
    </xdr:to>
    <xdr:sp macro="" textlink="">
      <xdr:nvSpPr>
        <xdr:cNvPr id="5" name="Rectangle 4">
          <a:extLst>
            <a:ext uri="{FF2B5EF4-FFF2-40B4-BE49-F238E27FC236}">
              <a16:creationId xmlns:a16="http://schemas.microsoft.com/office/drawing/2014/main" id="{FDA8C42D-566C-4B68-95A1-0F455C120731}"/>
            </a:ext>
          </a:extLst>
        </xdr:cNvPr>
        <xdr:cNvSpPr/>
      </xdr:nvSpPr>
      <xdr:spPr>
        <a:xfrm rot="5400000">
          <a:off x="1475898" y="2010252"/>
          <a:ext cx="734378" cy="45719"/>
        </a:xfrm>
        <a:prstGeom prst="rect">
          <a:avLst/>
        </a:prstGeom>
        <a:solidFill>
          <a:srgbClr val="EFE8E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514352</xdr:colOff>
      <xdr:row>4</xdr:row>
      <xdr:rowOff>47626</xdr:rowOff>
    </xdr:from>
    <xdr:to>
      <xdr:col>7</xdr:col>
      <xdr:colOff>560071</xdr:colOff>
      <xdr:row>7</xdr:row>
      <xdr:rowOff>86679</xdr:rowOff>
    </xdr:to>
    <xdr:sp macro="" textlink="">
      <xdr:nvSpPr>
        <xdr:cNvPr id="6" name="Rectangle 5">
          <a:extLst>
            <a:ext uri="{FF2B5EF4-FFF2-40B4-BE49-F238E27FC236}">
              <a16:creationId xmlns:a16="http://schemas.microsoft.com/office/drawing/2014/main" id="{AA4B5A40-01B7-490A-AD4C-D1667464AA10}"/>
            </a:ext>
          </a:extLst>
        </xdr:cNvPr>
        <xdr:cNvSpPr/>
      </xdr:nvSpPr>
      <xdr:spPr>
        <a:xfrm rot="5400000">
          <a:off x="13219273" y="2020730"/>
          <a:ext cx="734378" cy="45719"/>
        </a:xfrm>
        <a:prstGeom prst="rect">
          <a:avLst/>
        </a:prstGeom>
        <a:solidFill>
          <a:srgbClr val="EFE8E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485775</xdr:colOff>
      <xdr:row>31</xdr:row>
      <xdr:rowOff>0</xdr:rowOff>
    </xdr:from>
    <xdr:to>
      <xdr:col>5</xdr:col>
      <xdr:colOff>2314575</xdr:colOff>
      <xdr:row>31</xdr:row>
      <xdr:rowOff>45719</xdr:rowOff>
    </xdr:to>
    <xdr:sp macro="" textlink="">
      <xdr:nvSpPr>
        <xdr:cNvPr id="7" name="Rectangle 6">
          <a:extLst>
            <a:ext uri="{FF2B5EF4-FFF2-40B4-BE49-F238E27FC236}">
              <a16:creationId xmlns:a16="http://schemas.microsoft.com/office/drawing/2014/main" id="{2AD11C60-858E-4A91-9898-33BA72E97894}"/>
            </a:ext>
          </a:extLst>
        </xdr:cNvPr>
        <xdr:cNvSpPr/>
      </xdr:nvSpPr>
      <xdr:spPr>
        <a:xfrm>
          <a:off x="4038600" y="7077075"/>
          <a:ext cx="7334250" cy="45719"/>
        </a:xfrm>
        <a:prstGeom prst="rect">
          <a:avLst/>
        </a:prstGeom>
        <a:solidFill>
          <a:srgbClr val="EFE8E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1828800</xdr:colOff>
      <xdr:row>6</xdr:row>
      <xdr:rowOff>85725</xdr:rowOff>
    </xdr:from>
    <xdr:to>
      <xdr:col>7</xdr:col>
      <xdr:colOff>571500</xdr:colOff>
      <xdr:row>6</xdr:row>
      <xdr:rowOff>131444</xdr:rowOff>
    </xdr:to>
    <xdr:sp macro="" textlink="">
      <xdr:nvSpPr>
        <xdr:cNvPr id="8" name="Rectangle 7">
          <a:extLst>
            <a:ext uri="{FF2B5EF4-FFF2-40B4-BE49-F238E27FC236}">
              <a16:creationId xmlns:a16="http://schemas.microsoft.com/office/drawing/2014/main" id="{C0060EB4-3605-4A62-A4B2-A4E73B8F046F}"/>
            </a:ext>
          </a:extLst>
        </xdr:cNvPr>
        <xdr:cNvSpPr/>
      </xdr:nvSpPr>
      <xdr:spPr>
        <a:xfrm>
          <a:off x="1828800" y="2209800"/>
          <a:ext cx="11791950" cy="45719"/>
        </a:xfrm>
        <a:prstGeom prst="rect">
          <a:avLst/>
        </a:prstGeom>
        <a:solidFill>
          <a:srgbClr val="EFE8E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790575</xdr:colOff>
          <xdr:row>5</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Aptos Narrow"/>
                </a:rPr>
                <a:t>Busca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0</v>
    <v>8</v>
    <v>252</v>
    <v>5</v>
  </rv>
  <rv s="0">
    <v>0</v>
    <v>8</v>
    <v>85</v>
    <v>5</v>
  </rv>
  <rv s="0">
    <v>0</v>
    <v>8</v>
    <v>77</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172A27C-E8A7-4817-AD2D-9D0745FE6282}" name="Table7" displayName="Table7" ref="B3:C324" totalsRowShown="0" dataDxfId="37">
  <autoFilter ref="B3:C324" xr:uid="{9172A27C-E8A7-4817-AD2D-9D0745FE6282}"/>
  <sortState xmlns:xlrd2="http://schemas.microsoft.com/office/spreadsheetml/2017/richdata2" ref="B4:C324">
    <sortCondition ref="B3:B324"/>
  </sortState>
  <tableColumns count="2">
    <tableColumn id="1" xr3:uid="{8FAEF256-64A4-4156-953C-7D1628EBD177}" name="Nombres propios" dataDxfId="36"/>
    <tableColumn id="2" xr3:uid="{685EFADD-117F-4FAF-AC83-F45F2C74AA36}" name="Column1"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4BCC47-9C73-490F-865C-8169ED2B2B05}" name="Table1" displayName="Table1" ref="B7:G259" totalsRowShown="0" headerRowDxfId="34">
  <autoFilter ref="B7:G259" xr:uid="{1A4BCC47-9C73-490F-865C-8169ED2B2B05}"/>
  <sortState xmlns:xlrd2="http://schemas.microsoft.com/office/spreadsheetml/2017/richdata2" ref="B8:G259">
    <sortCondition ref="C7:C259"/>
  </sortState>
  <tableColumns count="6">
    <tableColumn id="1" xr3:uid="{D061146C-A454-41C3-9126-FB8D6D134E7B}" name="Nombres"/>
    <tableColumn id="2" xr3:uid="{B73BB970-DE69-48AE-8004-E22A25E1D899}" name="Traducción nombres"/>
    <tableColumn id="4" xr3:uid="{65E01459-8214-446C-90A6-9F93486504A0}" name="Género nombres" dataDxfId="33">
      <calculatedColumnFormula>IF(RIGHT(B8, 2) = "is", "(m.)", IF(RIGHT(B8, 1) = "a", "(f.)", "(m.)"))</calculatedColumnFormula>
    </tableColumn>
    <tableColumn id="8" xr3:uid="{5E8236A9-CED3-4D61-91E4-AB52DD57801C}" name="Etimología nombres"/>
    <tableColumn id="5" xr3:uid="{361B1C07-B41B-44FA-91AE-1AC3FADAC967}" name="Definición nombres"/>
    <tableColumn id="11" xr3:uid="{389E4D0B-A304-4600-870E-245E86A6C86E}" name="Ejemplo nombres"/>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F8F8FD-5B6F-480D-8699-17FCBE3181D9}" name="Table2" displayName="Table2" ref="H7:M86" totalsRowShown="0" headerRowDxfId="32" dataDxfId="31">
  <autoFilter ref="H7:M86" xr:uid="{16F8F8FD-5B6F-480D-8699-17FCBE3181D9}"/>
  <sortState xmlns:xlrd2="http://schemas.microsoft.com/office/spreadsheetml/2017/richdata2" ref="H8:M86">
    <sortCondition ref="J7:J86"/>
  </sortState>
  <tableColumns count="6">
    <tableColumn id="1" xr3:uid="{B5D35146-7E5D-44F4-9B54-398C0B550586}" name="Verbos" dataDxfId="30"/>
    <tableColumn id="3" xr3:uid="{DFCA6AF0-C75D-4CAB-95F4-5612F6E4F310}" name="Final" dataDxfId="29"/>
    <tableColumn id="8" xr3:uid="{BD4A87BC-3DCE-4F0E-8FAF-D2A4FD613DD0}" name="Traducción verbos" dataDxfId="28"/>
    <tableColumn id="7" xr3:uid="{AAADD3B3-1654-4C83-854B-8815A5FE66BF}" name="Etimología verbos" dataDxfId="27"/>
    <tableColumn id="6" xr3:uid="{2D2E1284-4C6D-4B1E-8E28-9A9B5C00B45B}" name="Definición verbos" dataDxfId="26"/>
    <tableColumn id="5" xr3:uid="{823135C0-52F1-4D1C-AB4A-1ACB48663732}" name="Ejemplos verbos" dataDxfId="25"/>
  </tableColumns>
  <tableStyleInfo name="TableStyleLight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835716-FD9A-42DD-8674-536D54977055}" name="Table3" displayName="Table3" ref="N7:R88" totalsRowShown="0" headerRowDxfId="24">
  <autoFilter ref="N7:R88" xr:uid="{CA835716-FD9A-42DD-8674-536D54977055}"/>
  <sortState xmlns:xlrd2="http://schemas.microsoft.com/office/spreadsheetml/2017/richdata2" ref="N8:R88">
    <sortCondition ref="O7:O88"/>
  </sortState>
  <tableColumns count="5">
    <tableColumn id="1" xr3:uid="{1FE8DA2A-9103-4BB7-80A3-C4F4BA0264D6}" name="Adjetivos"/>
    <tableColumn id="2" xr3:uid="{6D4CABA9-9060-43E2-9F26-1ADFFB7C1EAB}" name="Traducción adjetivos"/>
    <tableColumn id="3" xr3:uid="{43E97B3C-7641-4311-AD5A-CB83C6E083ED}" name="Etimología adjetivos" dataDxfId="23"/>
    <tableColumn id="4" xr3:uid="{D6D800B7-BDE6-4ABD-AC5D-FCA903790B8A}" name="Definición adjetivos" dataDxfId="22"/>
    <tableColumn id="5" xr3:uid="{DB4DDB29-F015-4D81-B293-6BF2BB4ABF57}" name="Ejemplos adjetivos" dataDxfId="21"/>
  </tableColumns>
  <tableStyleInfo name="TableStyleLight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95C9A44-DDE3-415F-B53A-51FEEC075BC9}" name="Table4" displayName="Table4" ref="S7:T86" totalsRowShown="0" headerRowDxfId="20">
  <autoFilter ref="S7:T86" xr:uid="{995C9A44-DDE3-415F-B53A-51FEEC075BC9}"/>
  <sortState xmlns:xlrd2="http://schemas.microsoft.com/office/spreadsheetml/2017/richdata2" ref="S8:T86">
    <sortCondition ref="S7:S86"/>
  </sortState>
  <tableColumns count="2">
    <tableColumn id="1" xr3:uid="{37EB2611-2D40-46F2-941F-46684ED39044}" name="Preposiciones /conjugaciones"/>
    <tableColumn id="2" xr3:uid="{54CE5452-D695-4DF0-B1EC-AC14DD931B36}" name="Traducción"/>
  </tableColumns>
  <tableStyleInfo name="TableStyleLight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A0FDC8-14DC-4D57-81FB-33B0F8FDE953}" name="Taula5" displayName="Taula5" ref="U2:AC5" totalsRowCount="1" dataDxfId="19">
  <autoFilter ref="U2:AC4" xr:uid="{C4A0FDC8-14DC-4D57-81FB-33B0F8FDE95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459A582-AC8C-4C68-88AC-B316B6679E19}" name="BUSCADOR ESP-DRA" totalsRowFunction="custom">
      <totalsRowFormula array="1">COUNTA(B8:B301+H8:H136+Table3[Adjetivos]+S8:S82+U8:U159)</totalsRowFormula>
    </tableColumn>
    <tableColumn id="2" xr3:uid="{02394A87-5332-4B16-8742-33963F4D449E}" name="NOMBRES" totalsRowLabel="palabras" dataDxfId="18" totalsRowDxfId="17"/>
    <tableColumn id="3" xr3:uid="{23B3A0AA-026E-4888-9A0B-6C4355414A00}" name="NOMBRES-DRA" dataDxfId="16" totalsRowDxfId="15"/>
    <tableColumn id="4" xr3:uid="{9FB6FDDD-F272-4726-92E6-E19446F79661}" name="VERBOS" dataDxfId="14" totalsRowDxfId="13"/>
    <tableColumn id="5" xr3:uid="{A183EB9D-D961-42BA-A28A-0C40B16480B8}" name="VERBOS-DRA" dataDxfId="12" totalsRowDxfId="11">
      <calculatedColumnFormula array="1">_xlfn._xlws.FILTER(D:D, (ISNUMBER(SEARCH(X3, E:E)) + ISNUMBER(SEARCH(X3, D:D)) &gt; 0), " ")</calculatedColumnFormula>
    </tableColumn>
    <tableColumn id="6" xr3:uid="{6966FE86-089E-4B8E-A83D-FCE34437089E}" name="ADJETIVOS" dataDxfId="10" totalsRowDxfId="9"/>
    <tableColumn id="7" xr3:uid="{37EE8D55-19A8-4C7F-9DDE-55209634A693}" name="ADJ-DRA" dataDxfId="8" totalsRowDxfId="7">
      <calculatedColumnFormula array="1">_xlfn._xlws.FILTER(F:F, (ISNUMBER(SEARCH(Z3, G:G)) + ISNUMBER(SEARCH(Z3, F:F)) &gt; 0), " ")</calculatedColumnFormula>
    </tableColumn>
    <tableColumn id="8" xr3:uid="{1972A6AA-0793-4571-9767-B024F8347E63}" name="PREPOSICIONES" dataDxfId="6" totalsRowDxfId="5"/>
    <tableColumn id="9" xr3:uid="{709DB5C2-6129-4913-A177-FFFD7357EE92}" name="PREP-DRA" dataDxfId="4" totalsRowDxfId="3">
      <calculatedColumnFormula array="1">_xlfn._xlws.FILTER(H:H, (ISNUMBER( SEARCH(AB3,#REF!)) + ISNUMBER(SEARCH(AB3, H:H)) &gt; 0),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633F47F-35D0-4C24-AB6A-24EA04817CD6}" name="Table6" displayName="Table6" ref="D9:I57" totalsRowShown="0">
  <autoFilter ref="D9:I57" xr:uid="{0633F47F-35D0-4C24-AB6A-24EA04817CD6}"/>
  <tableColumns count="6">
    <tableColumn id="1" xr3:uid="{715B4632-8A71-48CB-A938-DB43C1FFF905}" name="Prefijo" dataDxfId="2"/>
    <tableColumn id="2" xr3:uid="{C939456F-9AEC-4910-AE4F-C823B14F9F59}" name="Significado"/>
    <tableColumn id="3" xr3:uid="{4E615955-5E5B-43C4-BFD9-5FF3DC84773C}" name="Raíz" dataDxfId="1"/>
    <tableColumn id="4" xr3:uid="{679A6291-20F9-4AD1-AE39-988FFD740D9B}" name="Significado2"/>
    <tableColumn id="5" xr3:uid="{B4600637-EA1C-4A80-86C9-9E750977FC25}" name="Sufijo" dataDxfId="0"/>
    <tableColumn id="6" xr3:uid="{4E636929-F98E-42EA-893B-09CFF66E5B1E}" name="Significado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F3D1A-C91C-4575-AA33-961E01CE1317}">
  <sheetPr codeName="Sheet2"/>
  <dimension ref="B3:L49"/>
  <sheetViews>
    <sheetView zoomScale="85" workbookViewId="0">
      <selection activeCell="C24" sqref="C24"/>
    </sheetView>
  </sheetViews>
  <sheetFormatPr defaultColWidth="9" defaultRowHeight="14.25"/>
  <cols>
    <col min="1" max="1" width="9" style="34"/>
    <col min="2" max="2" width="19.7109375" style="34" customWidth="1"/>
    <col min="3" max="3" width="63" style="34" customWidth="1"/>
    <col min="4" max="10" width="9" style="34"/>
    <col min="11" max="11" width="18.42578125" style="34" customWidth="1"/>
    <col min="12" max="16384" width="9" style="34"/>
  </cols>
  <sheetData>
    <row r="3" spans="2:12" ht="15">
      <c r="B3" s="33" t="s">
        <v>675</v>
      </c>
      <c r="C3" s="34" t="s">
        <v>849</v>
      </c>
      <c r="L3" s="34" t="s">
        <v>676</v>
      </c>
    </row>
    <row r="4" spans="2:12">
      <c r="B4" s="36" t="s">
        <v>731</v>
      </c>
      <c r="C4" s="34" t="s">
        <v>732</v>
      </c>
      <c r="K4" s="34" t="s">
        <v>679</v>
      </c>
      <c r="L4" s="34">
        <f>400/25</f>
        <v>16</v>
      </c>
    </row>
    <row r="5" spans="2:12" ht="15" thickBot="1">
      <c r="B5" s="36" t="s">
        <v>22</v>
      </c>
      <c r="C5" s="34" t="s">
        <v>740</v>
      </c>
    </row>
    <row r="6" spans="2:12" ht="16.5" thickTop="1" thickBot="1">
      <c r="B6" s="36" t="s">
        <v>727</v>
      </c>
      <c r="C6" s="34" t="s">
        <v>728</v>
      </c>
      <c r="K6" s="34" t="s">
        <v>684</v>
      </c>
      <c r="L6" s="35">
        <v>4650</v>
      </c>
    </row>
    <row r="7" spans="2:12" ht="15" thickTop="1">
      <c r="B7" s="36" t="s">
        <v>723</v>
      </c>
      <c r="C7" s="34" t="s">
        <v>724</v>
      </c>
    </row>
    <row r="8" spans="2:12">
      <c r="B8" s="34" t="s">
        <v>677</v>
      </c>
      <c r="C8" s="34" t="s">
        <v>678</v>
      </c>
      <c r="K8" s="34" t="s">
        <v>689</v>
      </c>
      <c r="L8" s="34">
        <f>L6/L4</f>
        <v>290.625</v>
      </c>
    </row>
    <row r="9" spans="2:12">
      <c r="B9" s="36" t="s">
        <v>862</v>
      </c>
      <c r="C9" s="34" t="s">
        <v>874</v>
      </c>
    </row>
    <row r="10" spans="2:12">
      <c r="B10" s="34" t="s">
        <v>692</v>
      </c>
      <c r="C10" s="34" t="s">
        <v>693</v>
      </c>
    </row>
    <row r="11" spans="2:12">
      <c r="B11" s="36" t="s">
        <v>729</v>
      </c>
      <c r="C11" s="34" t="s">
        <v>730</v>
      </c>
    </row>
    <row r="12" spans="2:12">
      <c r="B12" s="34" t="s">
        <v>261</v>
      </c>
      <c r="C12" s="34" t="s">
        <v>717</v>
      </c>
    </row>
    <row r="13" spans="2:12">
      <c r="B13" s="34" t="s">
        <v>996</v>
      </c>
      <c r="C13" s="34" t="s">
        <v>997</v>
      </c>
    </row>
    <row r="14" spans="2:12">
      <c r="B14" s="36" t="s">
        <v>738</v>
      </c>
      <c r="C14" s="34" t="s">
        <v>739</v>
      </c>
    </row>
    <row r="15" spans="2:12">
      <c r="B15" s="34" t="s">
        <v>306</v>
      </c>
      <c r="C15" s="34" t="s">
        <v>708</v>
      </c>
    </row>
    <row r="16" spans="2:12">
      <c r="B16" s="34" t="s">
        <v>713</v>
      </c>
      <c r="C16" s="34" t="s">
        <v>714</v>
      </c>
    </row>
    <row r="17" spans="2:6">
      <c r="B17" s="34" t="s">
        <v>690</v>
      </c>
      <c r="C17" s="34" t="s">
        <v>691</v>
      </c>
    </row>
    <row r="18" spans="2:6">
      <c r="B18" s="34" t="s">
        <v>706</v>
      </c>
      <c r="C18" s="34" t="s">
        <v>707</v>
      </c>
    </row>
    <row r="19" spans="2:6">
      <c r="B19" s="36" t="s">
        <v>744</v>
      </c>
      <c r="C19" s="34" t="s">
        <v>745</v>
      </c>
    </row>
    <row r="20" spans="2:6">
      <c r="B20" s="36" t="s">
        <v>754</v>
      </c>
      <c r="C20" s="34" t="s">
        <v>755</v>
      </c>
    </row>
    <row r="21" spans="2:6">
      <c r="B21" s="36" t="s">
        <v>750</v>
      </c>
      <c r="C21" s="34" t="s">
        <v>751</v>
      </c>
    </row>
    <row r="22" spans="2:6">
      <c r="B22" s="36" t="s">
        <v>869</v>
      </c>
      <c r="C22" s="34" t="s">
        <v>873</v>
      </c>
    </row>
    <row r="23" spans="2:6">
      <c r="B23" s="34" t="s">
        <v>720</v>
      </c>
      <c r="C23" s="34" t="s">
        <v>721</v>
      </c>
    </row>
    <row r="24" spans="2:6">
      <c r="B24" s="34" t="s">
        <v>711</v>
      </c>
      <c r="C24" s="34" t="s">
        <v>712</v>
      </c>
    </row>
    <row r="25" spans="2:6">
      <c r="B25" s="34" t="s">
        <v>709</v>
      </c>
      <c r="C25" s="34" t="s">
        <v>710</v>
      </c>
      <c r="F25" s="34" t="s">
        <v>722</v>
      </c>
    </row>
    <row r="26" spans="2:6">
      <c r="B26" s="34" t="s">
        <v>696</v>
      </c>
      <c r="C26" s="34" t="s">
        <v>697</v>
      </c>
    </row>
    <row r="27" spans="2:6">
      <c r="B27" s="36" t="s">
        <v>733</v>
      </c>
      <c r="C27" s="34" t="s">
        <v>734</v>
      </c>
    </row>
    <row r="28" spans="2:6">
      <c r="B28" s="36" t="s">
        <v>875</v>
      </c>
      <c r="C28" s="34" t="s">
        <v>876</v>
      </c>
    </row>
    <row r="29" spans="2:6">
      <c r="B29" s="34" t="s">
        <v>702</v>
      </c>
      <c r="C29" s="34" t="s">
        <v>703</v>
      </c>
    </row>
    <row r="30" spans="2:6">
      <c r="B30" s="36" t="s">
        <v>725</v>
      </c>
      <c r="C30" s="34" t="s">
        <v>726</v>
      </c>
    </row>
    <row r="31" spans="2:6">
      <c r="B31" s="34" t="s">
        <v>687</v>
      </c>
      <c r="C31" s="34" t="s">
        <v>688</v>
      </c>
    </row>
    <row r="32" spans="2:6">
      <c r="B32" s="34" t="s">
        <v>715</v>
      </c>
      <c r="C32" s="34" t="s">
        <v>716</v>
      </c>
    </row>
    <row r="33" spans="2:3">
      <c r="B33" s="36" t="s">
        <v>741</v>
      </c>
      <c r="C33" s="34" t="s">
        <v>742</v>
      </c>
    </row>
    <row r="34" spans="2:3">
      <c r="B34" s="36" t="s">
        <v>748</v>
      </c>
      <c r="C34" s="34" t="s">
        <v>749</v>
      </c>
    </row>
    <row r="35" spans="2:3">
      <c r="B35" s="36" t="s">
        <v>562</v>
      </c>
      <c r="C35" s="34" t="s">
        <v>743</v>
      </c>
    </row>
    <row r="36" spans="2:3">
      <c r="B36" s="36" t="s">
        <v>568</v>
      </c>
      <c r="C36" s="34" t="s">
        <v>737</v>
      </c>
    </row>
    <row r="37" spans="2:3">
      <c r="B37" s="36" t="s">
        <v>877</v>
      </c>
      <c r="C37" s="34" t="s">
        <v>878</v>
      </c>
    </row>
    <row r="38" spans="2:3">
      <c r="B38" s="34" t="s">
        <v>680</v>
      </c>
      <c r="C38" s="34" t="s">
        <v>681</v>
      </c>
    </row>
    <row r="39" spans="2:3">
      <c r="B39" s="34" t="s">
        <v>682</v>
      </c>
      <c r="C39" s="34" t="s">
        <v>683</v>
      </c>
    </row>
    <row r="40" spans="2:3">
      <c r="B40" s="34" t="s">
        <v>685</v>
      </c>
      <c r="C40" s="34" t="s">
        <v>686</v>
      </c>
    </row>
    <row r="41" spans="2:3">
      <c r="B41" s="34" t="s">
        <v>718</v>
      </c>
      <c r="C41" s="34" t="s">
        <v>719</v>
      </c>
    </row>
    <row r="42" spans="2:3">
      <c r="B42" s="34" t="s">
        <v>700</v>
      </c>
      <c r="C42" s="34" t="s">
        <v>701</v>
      </c>
    </row>
    <row r="43" spans="2:3">
      <c r="B43" s="34" t="s">
        <v>704</v>
      </c>
      <c r="C43" s="34" t="s">
        <v>705</v>
      </c>
    </row>
    <row r="44" spans="2:3">
      <c r="B44" s="36" t="s">
        <v>752</v>
      </c>
      <c r="C44" s="34" t="s">
        <v>753</v>
      </c>
    </row>
    <row r="45" spans="2:3">
      <c r="B45" s="34" t="s">
        <v>698</v>
      </c>
      <c r="C45" s="34" t="s">
        <v>699</v>
      </c>
    </row>
    <row r="46" spans="2:3">
      <c r="B46" s="36" t="s">
        <v>735</v>
      </c>
      <c r="C46" s="34" t="s">
        <v>736</v>
      </c>
    </row>
    <row r="47" spans="2:3">
      <c r="B47" s="34" t="s">
        <v>694</v>
      </c>
      <c r="C47" s="34" t="s">
        <v>695</v>
      </c>
    </row>
    <row r="48" spans="2:3">
      <c r="B48" s="36" t="s">
        <v>746</v>
      </c>
      <c r="C48" s="34" t="s">
        <v>747</v>
      </c>
    </row>
    <row r="49" spans="2:3">
      <c r="B49" s="34" t="s">
        <v>1281</v>
      </c>
      <c r="C49" s="34" t="s">
        <v>1289</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ED3BB-48F9-491A-B981-797639860162}">
  <sheetPr codeName="Sheet1"/>
  <dimension ref="B2:AD259"/>
  <sheetViews>
    <sheetView zoomScale="87" zoomScaleNormal="100" workbookViewId="0">
      <selection activeCell="J30" sqref="J30"/>
    </sheetView>
  </sheetViews>
  <sheetFormatPr defaultRowHeight="15" outlineLevelCol="1"/>
  <cols>
    <col min="2" max="2" width="17.42578125" customWidth="1"/>
    <col min="3" max="3" width="29.7109375" customWidth="1"/>
    <col min="4" max="4" width="6.28515625" hidden="1" customWidth="1" outlineLevel="1"/>
    <col min="5" max="5" width="29.7109375" hidden="1" customWidth="1" outlineLevel="1"/>
    <col min="6" max="6" width="44" hidden="1" customWidth="1" outlineLevel="1"/>
    <col min="7" max="7" width="62.5703125" hidden="1" customWidth="1" outlineLevel="1"/>
    <col min="8" max="8" width="24.42578125" customWidth="1" collapsed="1"/>
    <col min="9" max="9" width="8.28515625" customWidth="1"/>
    <col min="10" max="10" width="28.85546875" customWidth="1"/>
    <col min="11" max="11" width="19.5703125" hidden="1" customWidth="1" outlineLevel="1"/>
    <col min="12" max="13" width="25.28515625" hidden="1" customWidth="1" outlineLevel="1"/>
    <col min="14" max="14" width="16" customWidth="1" collapsed="1"/>
    <col min="15" max="15" width="19.42578125" customWidth="1"/>
    <col min="16" max="16" width="12.7109375" hidden="1" customWidth="1" outlineLevel="1"/>
    <col min="17" max="17" width="32.85546875" hidden="1" customWidth="1" outlineLevel="1"/>
    <col min="18" max="18" width="43.5703125" hidden="1" customWidth="1" outlineLevel="1"/>
    <col min="19" max="19" width="13.85546875" customWidth="1" collapsed="1"/>
    <col min="20" max="20" width="32.5703125" customWidth="1"/>
    <col min="22" max="22" width="39.28515625" customWidth="1"/>
  </cols>
  <sheetData>
    <row r="2" spans="2:30" ht="15.75" thickBot="1">
      <c r="U2" t="s">
        <v>0</v>
      </c>
      <c r="V2" t="s">
        <v>1</v>
      </c>
      <c r="W2" t="s">
        <v>2</v>
      </c>
      <c r="X2" t="s">
        <v>3</v>
      </c>
      <c r="Y2" t="s">
        <v>4</v>
      </c>
      <c r="Z2" t="s">
        <v>5</v>
      </c>
      <c r="AA2" t="s">
        <v>6</v>
      </c>
      <c r="AB2" t="s">
        <v>7</v>
      </c>
      <c r="AC2" t="s">
        <v>8</v>
      </c>
    </row>
    <row r="3" spans="2:30" ht="15.75" thickBot="1">
      <c r="B3" s="1" t="s">
        <v>9</v>
      </c>
      <c r="V3" s="5" t="s">
        <v>1318</v>
      </c>
      <c r="W3" s="4" t="s">
        <v>1318</v>
      </c>
      <c r="X3" s="5" t="s">
        <v>782</v>
      </c>
      <c r="Y3" s="4" t="str" cm="1">
        <f t="array" ref="Y3">_xlfn._xlws.FILTER(D:D, (ISNUMBER(SEARCH(X3, E:E)) + ISNUMBER(SEARCH(X3, D:D)) &gt; 0), " ")</f>
        <v xml:space="preserve"> </v>
      </c>
      <c r="Z3" s="5" t="s">
        <v>10</v>
      </c>
      <c r="AA3" s="4" t="str" cm="1">
        <f t="array" ref="AA3">_xlfn._xlws.FILTER(F:F, (ISNUMBER(SEARCH(Z3, G:G)) + ISNUMBER(SEARCH(Z3, F:F)) &gt; 0), " ")</f>
        <v xml:space="preserve"> </v>
      </c>
      <c r="AB3" s="5" t="s">
        <v>11</v>
      </c>
      <c r="AC3" s="4" t="str" cm="1">
        <f t="array" ref="AC3">_xlfn._xlws.FILTER(H:H, (ISNUMBER( SEARCH(AB3,#REF!)) + ISNUMBER(SEARCH(AB3, H:H)) &gt; 0), " ")</f>
        <v xml:space="preserve"> </v>
      </c>
    </row>
    <row r="4" spans="2:30" ht="15.75" thickBot="1">
      <c r="B4" s="1"/>
      <c r="N4" s="41">
        <f>COUNTA(U8:U41,H8:H86,B8:B259,N8:N88,S8:S86)</f>
        <v>434</v>
      </c>
      <c r="O4" s="39" t="s">
        <v>14</v>
      </c>
      <c r="V4" s="5"/>
      <c r="W4" s="4"/>
      <c r="X4" s="5"/>
      <c r="Y4" s="4" t="e" cm="1" vm="1">
        <f t="array" aca="1" ref="Y4" ca="1">_xlfn._xlws.FILTER(D:D, (ISNUMBER(SEARCH(X4, E:E)) + ISNUMBER(SEARCH(X4, D:D)) &gt; 0), " ")</f>
        <v>#VALUE!</v>
      </c>
      <c r="Z4" s="5"/>
      <c r="AA4" s="4" t="e" cm="1" vm="2">
        <f t="array" aca="1" ref="AA4" ca="1">_xlfn._xlws.FILTER(F:F, (ISNUMBER(SEARCH(Z4, G:G)) + ISNUMBER(SEARCH(Z4, F:F)) &gt; 0), " ")</f>
        <v>#VALUE!</v>
      </c>
      <c r="AB4" s="5"/>
      <c r="AC4" s="4" t="e" cm="1" vm="3">
        <f t="array" aca="1" ref="AC4" ca="1">_xlfn._xlws.FILTER(H:H, (ISNUMBER( SEARCH(AB4,#REF!)) + ISNUMBER(SEARCH(AB4, H:H)) &gt; 0), " ")</f>
        <v>#VALUE!</v>
      </c>
    </row>
    <row r="5" spans="2:30">
      <c r="B5" t="s">
        <v>12</v>
      </c>
      <c r="C5" t="s">
        <v>13</v>
      </c>
      <c r="U5" cm="1">
        <f t="array" ref="U5">COUNTA(B8:B301+H8:H136+Table3[Adjetivos]+S8:S82+U8:U159)</f>
        <v>294</v>
      </c>
      <c r="V5" s="7" t="s">
        <v>14</v>
      </c>
      <c r="W5" s="8"/>
      <c r="X5" s="7"/>
      <c r="Y5" s="8"/>
      <c r="Z5" s="7"/>
      <c r="AA5" s="8"/>
      <c r="AB5" s="7"/>
      <c r="AC5" s="8"/>
    </row>
    <row r="7" spans="2:30">
      <c r="B7" s="2" t="s">
        <v>15</v>
      </c>
      <c r="C7" s="2" t="s">
        <v>796</v>
      </c>
      <c r="D7" s="1" t="s">
        <v>797</v>
      </c>
      <c r="E7" s="1" t="s">
        <v>798</v>
      </c>
      <c r="F7" s="1" t="s">
        <v>799</v>
      </c>
      <c r="G7" s="1" t="s">
        <v>800</v>
      </c>
      <c r="H7" s="2" t="s">
        <v>17</v>
      </c>
      <c r="I7" s="2" t="s">
        <v>896</v>
      </c>
      <c r="J7" s="2" t="s">
        <v>894</v>
      </c>
      <c r="K7" s="2" t="s">
        <v>897</v>
      </c>
      <c r="L7" s="2" t="s">
        <v>898</v>
      </c>
      <c r="M7" s="2" t="s">
        <v>899</v>
      </c>
      <c r="N7" s="2" t="s">
        <v>19</v>
      </c>
      <c r="O7" s="2" t="s">
        <v>895</v>
      </c>
      <c r="P7" s="2" t="s">
        <v>1251</v>
      </c>
      <c r="Q7" s="2" t="s">
        <v>1252</v>
      </c>
      <c r="R7" s="2" t="s">
        <v>1253</v>
      </c>
      <c r="S7" s="2" t="s">
        <v>20</v>
      </c>
      <c r="T7" s="2" t="s">
        <v>18</v>
      </c>
      <c r="U7" s="1" t="s">
        <v>21</v>
      </c>
      <c r="V7" s="1" t="s">
        <v>18</v>
      </c>
    </row>
    <row r="8" spans="2:30">
      <c r="B8" t="s">
        <v>1237</v>
      </c>
      <c r="C8" t="s">
        <v>1238</v>
      </c>
      <c r="D8" t="str">
        <f t="shared" ref="D8:D39" si="0">IF(RIGHT(B8, 2) = "is", "(m.)", IF(RIGHT(B8, 1) = "a", "(f.)", "(m.)"))</f>
        <v>(m.)</v>
      </c>
      <c r="E8" t="s">
        <v>1239</v>
      </c>
      <c r="F8" t="s">
        <v>1240</v>
      </c>
      <c r="H8" s="3" t="s">
        <v>1044</v>
      </c>
      <c r="I8" s="37" t="s">
        <v>901</v>
      </c>
      <c r="J8" s="3" t="s">
        <v>1043</v>
      </c>
      <c r="K8" s="3" t="s">
        <v>1045</v>
      </c>
      <c r="L8" s="3" t="s">
        <v>1046</v>
      </c>
      <c r="M8" s="3" t="s">
        <v>1047</v>
      </c>
      <c r="N8" s="3" t="s">
        <v>1146</v>
      </c>
      <c r="O8" s="3" t="s">
        <v>1144</v>
      </c>
      <c r="P8" s="3"/>
      <c r="Q8" s="3" t="s">
        <v>1145</v>
      </c>
      <c r="R8" t="s">
        <v>1317</v>
      </c>
      <c r="S8" t="s">
        <v>290</v>
      </c>
      <c r="T8" t="s">
        <v>291</v>
      </c>
      <c r="U8" t="s">
        <v>32</v>
      </c>
      <c r="V8" t="s">
        <v>33</v>
      </c>
    </row>
    <row r="9" spans="2:30" ht="14.25" customHeight="1">
      <c r="B9" t="s">
        <v>921</v>
      </c>
      <c r="C9" t="s">
        <v>924</v>
      </c>
      <c r="D9" t="str">
        <f t="shared" si="0"/>
        <v>(f.)</v>
      </c>
      <c r="E9" t="s">
        <v>922</v>
      </c>
      <c r="F9" t="s">
        <v>923</v>
      </c>
      <c r="H9" s="3" t="s">
        <v>26</v>
      </c>
      <c r="I9" s="37" t="s">
        <v>901</v>
      </c>
      <c r="J9" s="3" t="s">
        <v>27</v>
      </c>
      <c r="K9" s="3"/>
      <c r="L9" s="3"/>
      <c r="M9" s="3"/>
      <c r="N9" s="3" t="s">
        <v>28</v>
      </c>
      <c r="O9" s="3" t="s">
        <v>29</v>
      </c>
      <c r="P9" s="3"/>
      <c r="Q9" s="3"/>
      <c r="R9" s="3"/>
      <c r="S9" s="3" t="s">
        <v>30</v>
      </c>
      <c r="T9" s="3" t="s">
        <v>31</v>
      </c>
      <c r="U9" t="s">
        <v>45</v>
      </c>
      <c r="V9" t="s">
        <v>46</v>
      </c>
      <c r="AD9" t="s">
        <v>900</v>
      </c>
    </row>
    <row r="10" spans="2:30" ht="15" customHeight="1">
      <c r="B10" t="s">
        <v>261</v>
      </c>
      <c r="C10" t="s">
        <v>262</v>
      </c>
      <c r="D10" t="str">
        <f t="shared" si="0"/>
        <v>(f.)</v>
      </c>
      <c r="E10" t="s">
        <v>1038</v>
      </c>
      <c r="F10" t="s">
        <v>1037</v>
      </c>
      <c r="G10" t="s">
        <v>1031</v>
      </c>
      <c r="H10" s="3" t="s">
        <v>39</v>
      </c>
      <c r="I10" s="37" t="s">
        <v>900</v>
      </c>
      <c r="J10" s="3" t="s">
        <v>40</v>
      </c>
      <c r="K10" s="3"/>
      <c r="L10" s="3"/>
      <c r="M10" s="3"/>
      <c r="N10" s="3" t="s">
        <v>41</v>
      </c>
      <c r="O10" s="3" t="s">
        <v>42</v>
      </c>
      <c r="P10" s="3"/>
      <c r="Q10" s="3"/>
      <c r="R10" s="3"/>
      <c r="S10" t="s">
        <v>283</v>
      </c>
      <c r="T10" t="s">
        <v>284</v>
      </c>
      <c r="U10" t="s">
        <v>57</v>
      </c>
      <c r="V10" t="s">
        <v>58</v>
      </c>
      <c r="AD10" t="s">
        <v>901</v>
      </c>
    </row>
    <row r="11" spans="2:30" ht="17.25" customHeight="1">
      <c r="B11" t="s">
        <v>158</v>
      </c>
      <c r="C11" t="s">
        <v>159</v>
      </c>
      <c r="D11" t="str">
        <f t="shared" si="0"/>
        <v>(m.)</v>
      </c>
      <c r="E11" t="s">
        <v>73</v>
      </c>
      <c r="F11" t="s">
        <v>822</v>
      </c>
      <c r="G11" t="s">
        <v>821</v>
      </c>
      <c r="H11" s="3" t="s">
        <v>51</v>
      </c>
      <c r="I11" s="37" t="s">
        <v>901</v>
      </c>
      <c r="J11" s="3" t="s">
        <v>52</v>
      </c>
      <c r="K11" s="3"/>
      <c r="L11" s="3"/>
      <c r="M11" s="3"/>
      <c r="N11" s="3" t="s">
        <v>53</v>
      </c>
      <c r="O11" s="3" t="s">
        <v>54</v>
      </c>
      <c r="P11" s="3"/>
      <c r="Q11" s="3"/>
      <c r="R11" s="3"/>
      <c r="S11" s="3" t="s">
        <v>1256</v>
      </c>
      <c r="T11" s="3" t="s">
        <v>1255</v>
      </c>
      <c r="U11" t="s">
        <v>69</v>
      </c>
      <c r="V11" t="s">
        <v>70</v>
      </c>
      <c r="AD11" t="s">
        <v>902</v>
      </c>
    </row>
    <row r="12" spans="2:30" ht="45">
      <c r="B12" t="s">
        <v>101</v>
      </c>
      <c r="C12" t="s">
        <v>102</v>
      </c>
      <c r="D12" t="str">
        <f t="shared" si="0"/>
        <v>(m.)</v>
      </c>
      <c r="E12" t="s">
        <v>73</v>
      </c>
      <c r="F12" t="s">
        <v>811</v>
      </c>
      <c r="G12" s="10" t="s">
        <v>812</v>
      </c>
      <c r="H12" s="3" t="s">
        <v>63</v>
      </c>
      <c r="I12" s="37" t="s">
        <v>902</v>
      </c>
      <c r="J12" s="3" t="s">
        <v>64</v>
      </c>
      <c r="K12" s="3"/>
      <c r="L12" s="3"/>
      <c r="M12" s="3"/>
      <c r="N12" s="3" t="s">
        <v>65</v>
      </c>
      <c r="O12" s="3" t="s">
        <v>66</v>
      </c>
      <c r="P12" s="3"/>
      <c r="Q12" s="3"/>
      <c r="R12" s="3"/>
      <c r="S12" t="s">
        <v>819</v>
      </c>
      <c r="T12" t="s">
        <v>820</v>
      </c>
      <c r="U12" t="s">
        <v>79</v>
      </c>
      <c r="V12" t="s">
        <v>80</v>
      </c>
      <c r="AD12" t="s">
        <v>903</v>
      </c>
    </row>
    <row r="13" spans="2:30">
      <c r="B13" s="3" t="s">
        <v>476</v>
      </c>
      <c r="C13" s="3" t="s">
        <v>477</v>
      </c>
      <c r="D13" t="str">
        <f t="shared" si="0"/>
        <v>(f.)</v>
      </c>
      <c r="E13" t="s">
        <v>73</v>
      </c>
      <c r="F13" s="3"/>
      <c r="G13" s="3"/>
      <c r="H13" s="3" t="s">
        <v>784</v>
      </c>
      <c r="I13" s="37" t="s">
        <v>903</v>
      </c>
      <c r="J13" s="3" t="s">
        <v>783</v>
      </c>
      <c r="K13" s="3"/>
      <c r="L13" s="3"/>
      <c r="M13" s="3"/>
      <c r="N13" s="3" t="s">
        <v>76</v>
      </c>
      <c r="O13" s="3" t="s">
        <v>77</v>
      </c>
      <c r="P13" s="3"/>
      <c r="Q13" s="3"/>
      <c r="R13" s="3"/>
      <c r="S13" s="6" t="s">
        <v>43</v>
      </c>
      <c r="T13" t="s">
        <v>44</v>
      </c>
      <c r="U13" t="s">
        <v>89</v>
      </c>
      <c r="V13" t="s">
        <v>90</v>
      </c>
      <c r="AD13" t="s">
        <v>1064</v>
      </c>
    </row>
    <row r="14" spans="2:30">
      <c r="B14" s="3" t="s">
        <v>629</v>
      </c>
      <c r="C14" s="3" t="s">
        <v>630</v>
      </c>
      <c r="D14" t="str">
        <f t="shared" si="0"/>
        <v>(m.)</v>
      </c>
      <c r="E14" t="s">
        <v>73</v>
      </c>
      <c r="F14" s="3"/>
      <c r="G14" s="3"/>
      <c r="H14" s="3" t="s">
        <v>74</v>
      </c>
      <c r="I14" s="37" t="s">
        <v>901</v>
      </c>
      <c r="J14" s="3" t="s">
        <v>75</v>
      </c>
      <c r="K14" s="3"/>
      <c r="L14" s="3"/>
      <c r="M14" s="3"/>
      <c r="N14" s="3" t="s">
        <v>85</v>
      </c>
      <c r="O14" s="3" t="s">
        <v>86</v>
      </c>
      <c r="P14" s="3"/>
      <c r="Q14" s="3"/>
      <c r="R14" s="3"/>
      <c r="S14" s="3" t="s">
        <v>55</v>
      </c>
      <c r="T14" s="3" t="s">
        <v>56</v>
      </c>
      <c r="U14" t="s">
        <v>99</v>
      </c>
      <c r="V14" t="s">
        <v>100</v>
      </c>
    </row>
    <row r="15" spans="2:30" ht="15.75" customHeight="1">
      <c r="B15" s="3" t="s">
        <v>631</v>
      </c>
      <c r="C15" s="3" t="s">
        <v>632</v>
      </c>
      <c r="D15" t="str">
        <f t="shared" si="0"/>
        <v>(f.)</v>
      </c>
      <c r="E15" t="s">
        <v>939</v>
      </c>
      <c r="F15" s="3" t="s">
        <v>854</v>
      </c>
      <c r="G15" s="3"/>
      <c r="H15" s="3" t="s">
        <v>83</v>
      </c>
      <c r="I15" s="37" t="s">
        <v>900</v>
      </c>
      <c r="J15" s="3" t="s">
        <v>84</v>
      </c>
      <c r="K15" s="3"/>
      <c r="L15" s="3"/>
      <c r="M15" s="3"/>
      <c r="N15" s="3" t="s">
        <v>315</v>
      </c>
      <c r="O15" s="3" t="s">
        <v>316</v>
      </c>
      <c r="P15" s="3"/>
      <c r="Q15" s="3"/>
      <c r="R15" s="3"/>
      <c r="S15" t="s">
        <v>194</v>
      </c>
      <c r="T15" t="s">
        <v>195</v>
      </c>
      <c r="U15" t="s">
        <v>109</v>
      </c>
      <c r="V15" t="s">
        <v>110</v>
      </c>
    </row>
    <row r="16" spans="2:30" ht="14.25" customHeight="1">
      <c r="B16" t="s">
        <v>617</v>
      </c>
      <c r="C16" t="s">
        <v>618</v>
      </c>
      <c r="D16" t="str">
        <f t="shared" si="0"/>
        <v>(m.)</v>
      </c>
      <c r="E16" t="s">
        <v>73</v>
      </c>
      <c r="H16" s="3" t="s">
        <v>93</v>
      </c>
      <c r="I16" s="37" t="s">
        <v>900</v>
      </c>
      <c r="J16" s="3" t="s">
        <v>94</v>
      </c>
      <c r="K16" s="3"/>
      <c r="L16" s="3" t="s">
        <v>1183</v>
      </c>
      <c r="M16" s="3" t="s">
        <v>1194</v>
      </c>
      <c r="N16" s="3" t="s">
        <v>95</v>
      </c>
      <c r="O16" s="3" t="s">
        <v>96</v>
      </c>
      <c r="P16" s="3"/>
      <c r="Q16" s="3"/>
      <c r="R16" s="3"/>
      <c r="S16" t="s">
        <v>202</v>
      </c>
      <c r="T16" t="s">
        <v>203</v>
      </c>
      <c r="U16" t="s">
        <v>119</v>
      </c>
      <c r="V16" t="s">
        <v>120</v>
      </c>
    </row>
    <row r="17" spans="2:22">
      <c r="B17" t="s">
        <v>1260</v>
      </c>
      <c r="C17" t="s">
        <v>1259</v>
      </c>
      <c r="D17" t="str">
        <f t="shared" si="0"/>
        <v>(m.)</v>
      </c>
      <c r="E17" t="s">
        <v>1261</v>
      </c>
      <c r="F17" t="s">
        <v>1264</v>
      </c>
      <c r="G17" t="s">
        <v>1273</v>
      </c>
      <c r="H17" s="3" t="s">
        <v>103</v>
      </c>
      <c r="I17" s="37" t="s">
        <v>900</v>
      </c>
      <c r="J17" s="3" t="s">
        <v>104</v>
      </c>
      <c r="K17" s="3"/>
      <c r="L17" s="3"/>
      <c r="M17" s="3"/>
      <c r="N17" s="3" t="s">
        <v>105</v>
      </c>
      <c r="O17" s="3" t="s">
        <v>106</v>
      </c>
      <c r="P17" s="3"/>
      <c r="Q17" s="3"/>
      <c r="R17" s="3"/>
      <c r="S17" s="3" t="s">
        <v>67</v>
      </c>
      <c r="T17" s="3" t="s">
        <v>68</v>
      </c>
      <c r="U17" t="s">
        <v>128</v>
      </c>
      <c r="V17" t="s">
        <v>129</v>
      </c>
    </row>
    <row r="18" spans="2:22">
      <c r="B18" t="s">
        <v>994</v>
      </c>
      <c r="C18" t="s">
        <v>992</v>
      </c>
      <c r="D18" t="str">
        <f t="shared" si="0"/>
        <v>(m.)</v>
      </c>
      <c r="E18" t="s">
        <v>995</v>
      </c>
      <c r="H18" s="3" t="s">
        <v>113</v>
      </c>
      <c r="I18" s="37" t="s">
        <v>901</v>
      </c>
      <c r="J18" s="3" t="s">
        <v>114</v>
      </c>
      <c r="K18" s="3"/>
      <c r="L18" s="3"/>
      <c r="M18" s="3"/>
      <c r="N18" s="3" t="s">
        <v>1154</v>
      </c>
      <c r="O18" s="3" t="s">
        <v>1152</v>
      </c>
      <c r="P18" s="3"/>
      <c r="Q18" s="3" t="s">
        <v>1153</v>
      </c>
      <c r="R18" s="3"/>
      <c r="S18" s="3" t="s">
        <v>78</v>
      </c>
      <c r="T18" s="3" t="s">
        <v>1234</v>
      </c>
      <c r="U18" t="s">
        <v>138</v>
      </c>
      <c r="V18" t="s">
        <v>139</v>
      </c>
    </row>
    <row r="19" spans="2:22">
      <c r="B19" t="s">
        <v>1090</v>
      </c>
      <c r="C19" t="s">
        <v>1091</v>
      </c>
      <c r="D19" t="str">
        <f t="shared" si="0"/>
        <v>(f.)</v>
      </c>
      <c r="E19" t="s">
        <v>1093</v>
      </c>
      <c r="F19" t="s">
        <v>1092</v>
      </c>
      <c r="G19">
        <v>2</v>
      </c>
      <c r="H19" s="3" t="s">
        <v>123</v>
      </c>
      <c r="I19" s="37" t="s">
        <v>901</v>
      </c>
      <c r="J19" s="3" t="s">
        <v>124</v>
      </c>
      <c r="K19" s="3"/>
      <c r="L19" s="3"/>
      <c r="M19" s="3"/>
      <c r="N19" s="3" t="s">
        <v>115</v>
      </c>
      <c r="O19" s="3" t="s">
        <v>116</v>
      </c>
      <c r="P19" s="3"/>
      <c r="Q19" s="3"/>
      <c r="R19" s="3"/>
      <c r="S19" s="3" t="s">
        <v>87</v>
      </c>
      <c r="T19" s="3" t="s">
        <v>88</v>
      </c>
      <c r="U19" t="s">
        <v>148</v>
      </c>
      <c r="V19" t="s">
        <v>149</v>
      </c>
    </row>
    <row r="20" spans="2:22">
      <c r="B20" t="s">
        <v>934</v>
      </c>
      <c r="C20" t="s">
        <v>936</v>
      </c>
      <c r="D20" t="str">
        <f t="shared" si="0"/>
        <v>(m.)</v>
      </c>
      <c r="E20" t="s">
        <v>937</v>
      </c>
      <c r="F20" t="s">
        <v>938</v>
      </c>
      <c r="H20" s="3" t="s">
        <v>1042</v>
      </c>
      <c r="I20" s="37" t="s">
        <v>903</v>
      </c>
      <c r="J20" s="3" t="s">
        <v>1041</v>
      </c>
      <c r="K20" s="3" t="s">
        <v>1049</v>
      </c>
      <c r="L20" s="3" t="s">
        <v>1245</v>
      </c>
      <c r="M20" s="3" t="s">
        <v>1048</v>
      </c>
      <c r="N20" s="3" t="s">
        <v>362</v>
      </c>
      <c r="O20" s="3" t="s">
        <v>363</v>
      </c>
      <c r="P20" s="3"/>
      <c r="Q20" s="3"/>
      <c r="R20" s="3"/>
      <c r="S20" t="s">
        <v>267</v>
      </c>
      <c r="T20" t="s">
        <v>268</v>
      </c>
      <c r="U20" t="s">
        <v>950</v>
      </c>
      <c r="V20" t="s">
        <v>948</v>
      </c>
    </row>
    <row r="21" spans="2:22">
      <c r="B21" t="s">
        <v>544</v>
      </c>
      <c r="C21" t="s">
        <v>545</v>
      </c>
      <c r="D21" t="str">
        <f t="shared" si="0"/>
        <v>(f.)</v>
      </c>
      <c r="E21" t="s">
        <v>1020</v>
      </c>
      <c r="F21" t="s">
        <v>1021</v>
      </c>
      <c r="H21" s="3" t="s">
        <v>132</v>
      </c>
      <c r="I21" s="37" t="s">
        <v>900</v>
      </c>
      <c r="J21" s="3" t="s">
        <v>133</v>
      </c>
      <c r="K21" s="3"/>
      <c r="L21" s="3"/>
      <c r="M21" s="3"/>
      <c r="N21" s="3" t="s">
        <v>1011</v>
      </c>
      <c r="O21" s="3" t="s">
        <v>1006</v>
      </c>
      <c r="P21" s="3" t="s">
        <v>1007</v>
      </c>
      <c r="Q21" s="3" t="s">
        <v>1008</v>
      </c>
      <c r="R21" s="3" t="s">
        <v>1009</v>
      </c>
      <c r="S21" t="s">
        <v>218</v>
      </c>
      <c r="T21" t="s">
        <v>219</v>
      </c>
      <c r="U21" t="s">
        <v>951</v>
      </c>
      <c r="V21" t="s">
        <v>949</v>
      </c>
    </row>
    <row r="22" spans="2:22">
      <c r="B22" t="s">
        <v>637</v>
      </c>
      <c r="C22" t="s">
        <v>638</v>
      </c>
      <c r="D22" t="str">
        <f t="shared" si="0"/>
        <v>(m.)</v>
      </c>
      <c r="E22" t="s">
        <v>840</v>
      </c>
      <c r="F22" t="s">
        <v>841</v>
      </c>
      <c r="G22" t="s">
        <v>842</v>
      </c>
      <c r="H22" s="3" t="s">
        <v>142</v>
      </c>
      <c r="I22" s="37" t="s">
        <v>900</v>
      </c>
      <c r="J22" s="3" t="s">
        <v>143</v>
      </c>
      <c r="K22" s="3"/>
      <c r="L22" s="3"/>
      <c r="M22" s="3"/>
      <c r="N22" s="3" t="s">
        <v>134</v>
      </c>
      <c r="O22" s="3" t="s">
        <v>135</v>
      </c>
      <c r="P22" s="3"/>
      <c r="Q22" s="3"/>
      <c r="R22" s="3"/>
      <c r="S22" t="s">
        <v>883</v>
      </c>
      <c r="T22" t="s">
        <v>886</v>
      </c>
      <c r="U22" s="40" t="s">
        <v>1148</v>
      </c>
      <c r="V22" s="40" t="s">
        <v>1147</v>
      </c>
    </row>
    <row r="23" spans="2:22">
      <c r="B23" t="s">
        <v>444</v>
      </c>
      <c r="C23" t="s">
        <v>445</v>
      </c>
      <c r="D23" t="str">
        <f t="shared" si="0"/>
        <v>(m.)</v>
      </c>
      <c r="E23" t="s">
        <v>73</v>
      </c>
      <c r="H23" s="3" t="s">
        <v>152</v>
      </c>
      <c r="I23" s="37"/>
      <c r="J23" s="3" t="s">
        <v>153</v>
      </c>
      <c r="K23" s="3"/>
      <c r="L23" s="3"/>
      <c r="M23" s="3"/>
      <c r="N23" s="3" t="s">
        <v>144</v>
      </c>
      <c r="O23" s="3" t="s">
        <v>145</v>
      </c>
      <c r="P23" s="3"/>
      <c r="Q23" s="3"/>
      <c r="R23" s="3"/>
      <c r="S23" t="s">
        <v>97</v>
      </c>
      <c r="T23" t="s">
        <v>98</v>
      </c>
      <c r="U23" t="s">
        <v>1160</v>
      </c>
      <c r="V23" t="s">
        <v>1161</v>
      </c>
    </row>
    <row r="24" spans="2:22">
      <c r="B24" t="s">
        <v>804</v>
      </c>
      <c r="C24" t="s">
        <v>838</v>
      </c>
      <c r="D24" t="str">
        <f t="shared" si="0"/>
        <v>(f.)</v>
      </c>
      <c r="E24" t="s">
        <v>836</v>
      </c>
      <c r="F24" t="s">
        <v>837</v>
      </c>
      <c r="H24" s="3" t="s">
        <v>160</v>
      </c>
      <c r="I24" s="37"/>
      <c r="J24" s="3" t="s">
        <v>161</v>
      </c>
      <c r="K24" s="3"/>
      <c r="L24" s="3"/>
      <c r="M24" s="3"/>
      <c r="N24" s="3" t="s">
        <v>1094</v>
      </c>
      <c r="O24" s="3" t="s">
        <v>1096</v>
      </c>
      <c r="P24" s="3" t="s">
        <v>1097</v>
      </c>
      <c r="Q24" s="3" t="s">
        <v>1095</v>
      </c>
      <c r="R24" s="3"/>
      <c r="S24" t="s">
        <v>210</v>
      </c>
      <c r="T24" t="s">
        <v>211</v>
      </c>
      <c r="U24" t="s">
        <v>1254</v>
      </c>
      <c r="V24" t="s">
        <v>1250</v>
      </c>
    </row>
    <row r="25" spans="2:22">
      <c r="B25" t="s">
        <v>340</v>
      </c>
      <c r="C25" t="s">
        <v>341</v>
      </c>
      <c r="D25" t="str">
        <f t="shared" si="0"/>
        <v>(f.)</v>
      </c>
      <c r="E25" t="s">
        <v>73</v>
      </c>
      <c r="H25" s="3" t="s">
        <v>168</v>
      </c>
      <c r="I25" s="37"/>
      <c r="J25" s="3" t="s">
        <v>169</v>
      </c>
      <c r="K25" s="3"/>
      <c r="L25" s="3"/>
      <c r="M25" s="3"/>
      <c r="N25" s="3" t="s">
        <v>154</v>
      </c>
      <c r="O25" s="3" t="s">
        <v>155</v>
      </c>
      <c r="P25" s="3"/>
      <c r="Q25" s="3"/>
      <c r="R25" s="3"/>
      <c r="S25" s="3" t="s">
        <v>107</v>
      </c>
      <c r="T25" s="3" t="s">
        <v>108</v>
      </c>
      <c r="U25" t="s">
        <v>1258</v>
      </c>
      <c r="V25" t="s">
        <v>1257</v>
      </c>
    </row>
    <row r="26" spans="2:22">
      <c r="B26" t="s">
        <v>174</v>
      </c>
      <c r="C26" t="s">
        <v>175</v>
      </c>
      <c r="D26" t="str">
        <f t="shared" si="0"/>
        <v>(m.)</v>
      </c>
      <c r="E26" t="s">
        <v>73</v>
      </c>
      <c r="F26" t="s">
        <v>1060</v>
      </c>
      <c r="G26" t="s">
        <v>1059</v>
      </c>
      <c r="H26" s="3" t="s">
        <v>176</v>
      </c>
      <c r="I26" s="37"/>
      <c r="J26" s="3" t="s">
        <v>177</v>
      </c>
      <c r="K26" s="3"/>
      <c r="L26" s="3" t="s">
        <v>1216</v>
      </c>
      <c r="M26" s="3"/>
      <c r="N26" s="3" t="s">
        <v>368</v>
      </c>
      <c r="O26" s="3" t="s">
        <v>369</v>
      </c>
      <c r="P26" s="3"/>
      <c r="Q26" s="3"/>
      <c r="R26" s="3"/>
      <c r="S26" s="6" t="s">
        <v>917</v>
      </c>
      <c r="T26" t="s">
        <v>918</v>
      </c>
    </row>
    <row r="27" spans="2:22">
      <c r="B27" t="s">
        <v>370</v>
      </c>
      <c r="C27" t="s">
        <v>371</v>
      </c>
      <c r="D27" t="str">
        <f t="shared" si="0"/>
        <v>(f.)</v>
      </c>
      <c r="E27" t="s">
        <v>73</v>
      </c>
      <c r="H27" s="3" t="s">
        <v>183</v>
      </c>
      <c r="I27" s="37"/>
      <c r="J27" s="3" t="s">
        <v>184</v>
      </c>
      <c r="K27" s="3"/>
      <c r="L27" s="3"/>
      <c r="M27" s="3"/>
      <c r="N27" s="3" t="s">
        <v>162</v>
      </c>
      <c r="O27" s="3" t="s">
        <v>163</v>
      </c>
      <c r="P27" s="3"/>
      <c r="Q27" s="3"/>
      <c r="R27" s="3"/>
      <c r="S27" t="s">
        <v>1104</v>
      </c>
      <c r="T27" t="s">
        <v>1103</v>
      </c>
    </row>
    <row r="28" spans="2:22">
      <c r="B28" s="3" t="s">
        <v>562</v>
      </c>
      <c r="C28" s="3" t="s">
        <v>563</v>
      </c>
      <c r="D28" t="str">
        <f t="shared" si="0"/>
        <v>(m.)</v>
      </c>
      <c r="E28" t="s">
        <v>858</v>
      </c>
      <c r="F28" s="3" t="s">
        <v>857</v>
      </c>
      <c r="G28" s="3"/>
      <c r="H28" s="3" t="s">
        <v>946</v>
      </c>
      <c r="I28" s="37"/>
      <c r="J28" s="3" t="s">
        <v>944</v>
      </c>
      <c r="K28" s="3" t="s">
        <v>947</v>
      </c>
      <c r="L28" s="3" t="s">
        <v>945</v>
      </c>
      <c r="M28" s="3"/>
      <c r="N28" t="s">
        <v>170</v>
      </c>
      <c r="O28" s="3" t="s">
        <v>171</v>
      </c>
      <c r="P28" s="3"/>
      <c r="Q28" s="3"/>
      <c r="R28" s="3"/>
      <c r="S28" t="s">
        <v>884</v>
      </c>
      <c r="T28" t="s">
        <v>885</v>
      </c>
    </row>
    <row r="29" spans="2:22">
      <c r="B29" s="3" t="s">
        <v>412</v>
      </c>
      <c r="C29" s="3" t="s">
        <v>413</v>
      </c>
      <c r="D29" t="str">
        <f t="shared" si="0"/>
        <v>(m.)</v>
      </c>
      <c r="E29" t="s">
        <v>73</v>
      </c>
      <c r="F29" s="3"/>
      <c r="G29" s="3"/>
      <c r="H29" s="3" t="s">
        <v>191</v>
      </c>
      <c r="I29" s="37" t="s">
        <v>900</v>
      </c>
      <c r="J29" s="3" t="s">
        <v>1131</v>
      </c>
      <c r="K29" s="3"/>
      <c r="L29" s="3" t="s">
        <v>1130</v>
      </c>
      <c r="M29" s="3" t="s">
        <v>1132</v>
      </c>
      <c r="N29" s="3" t="s">
        <v>1155</v>
      </c>
      <c r="O29" s="3" t="s">
        <v>1149</v>
      </c>
      <c r="P29" s="3" t="s">
        <v>1150</v>
      </c>
      <c r="Q29" s="3" t="s">
        <v>1151</v>
      </c>
      <c r="R29" s="3"/>
      <c r="S29" s="3" t="s">
        <v>117</v>
      </c>
      <c r="T29" s="3" t="s">
        <v>118</v>
      </c>
    </row>
    <row r="30" spans="2:22">
      <c r="B30" t="s">
        <v>982</v>
      </c>
      <c r="C30" t="s">
        <v>987</v>
      </c>
      <c r="D30" t="str">
        <f t="shared" si="0"/>
        <v>(m.)</v>
      </c>
      <c r="E30" t="s">
        <v>985</v>
      </c>
      <c r="F30" t="s">
        <v>988</v>
      </c>
      <c r="G30" t="s">
        <v>989</v>
      </c>
      <c r="H30" s="3" t="s">
        <v>1140</v>
      </c>
      <c r="I30" s="37"/>
      <c r="J30" s="3" t="s">
        <v>1141</v>
      </c>
      <c r="K30" s="3" t="s">
        <v>1143</v>
      </c>
      <c r="L30" s="3" t="s">
        <v>1142</v>
      </c>
      <c r="M30" s="3"/>
      <c r="N30" s="3" t="s">
        <v>178</v>
      </c>
      <c r="O30" s="3" t="s">
        <v>179</v>
      </c>
      <c r="P30" s="3"/>
      <c r="Q30" s="3"/>
      <c r="R30" s="3"/>
      <c r="S30" t="s">
        <v>1275</v>
      </c>
      <c r="T30" t="s">
        <v>1274</v>
      </c>
    </row>
    <row r="31" spans="2:22">
      <c r="B31" t="s">
        <v>1051</v>
      </c>
      <c r="C31" t="s">
        <v>1050</v>
      </c>
      <c r="D31" t="str">
        <f t="shared" si="0"/>
        <v>(f.)</v>
      </c>
      <c r="E31" t="s">
        <v>73</v>
      </c>
      <c r="F31" t="s">
        <v>1052</v>
      </c>
      <c r="H31" s="3" t="s">
        <v>1053</v>
      </c>
      <c r="I31" s="37" t="s">
        <v>901</v>
      </c>
      <c r="J31" s="3" t="s">
        <v>1055</v>
      </c>
      <c r="K31" s="3" t="s">
        <v>1054</v>
      </c>
      <c r="L31" s="3" t="s">
        <v>1056</v>
      </c>
      <c r="M31" s="3"/>
      <c r="N31" s="3" t="s">
        <v>185</v>
      </c>
      <c r="O31" s="3" t="s">
        <v>186</v>
      </c>
      <c r="P31" s="3"/>
      <c r="Q31" s="3"/>
      <c r="R31" s="3"/>
      <c r="S31" t="s">
        <v>232</v>
      </c>
      <c r="T31" t="s">
        <v>233</v>
      </c>
    </row>
    <row r="32" spans="2:22">
      <c r="B32" t="s">
        <v>912</v>
      </c>
      <c r="C32" t="s">
        <v>913</v>
      </c>
      <c r="D32" t="str">
        <f t="shared" si="0"/>
        <v>(m.)</v>
      </c>
      <c r="E32" t="s">
        <v>914</v>
      </c>
      <c r="F32" t="s">
        <v>915</v>
      </c>
      <c r="G32" t="s">
        <v>916</v>
      </c>
      <c r="H32" s="3" t="s">
        <v>198</v>
      </c>
      <c r="I32" s="37"/>
      <c r="J32" s="3" t="s">
        <v>199</v>
      </c>
      <c r="K32" s="3"/>
      <c r="L32" s="3"/>
      <c r="M32" s="3"/>
      <c r="N32" s="3" t="s">
        <v>192</v>
      </c>
      <c r="O32" s="3" t="s">
        <v>193</v>
      </c>
      <c r="P32" s="3"/>
      <c r="Q32" s="3"/>
      <c r="R32" s="3"/>
      <c r="S32" s="3" t="s">
        <v>126</v>
      </c>
      <c r="T32" s="3" t="s">
        <v>127</v>
      </c>
    </row>
    <row r="33" spans="2:20">
      <c r="B33" t="s">
        <v>552</v>
      </c>
      <c r="C33" t="s">
        <v>553</v>
      </c>
      <c r="D33" t="str">
        <f t="shared" si="0"/>
        <v>(m.)</v>
      </c>
      <c r="E33" t="s">
        <v>73</v>
      </c>
      <c r="H33" s="3" t="s">
        <v>206</v>
      </c>
      <c r="I33" s="37"/>
      <c r="J33" s="3" t="s">
        <v>207</v>
      </c>
      <c r="K33" s="3"/>
      <c r="L33" s="3"/>
      <c r="M33" s="3"/>
      <c r="N33" s="3" t="s">
        <v>338</v>
      </c>
      <c r="O33" s="3" t="s">
        <v>339</v>
      </c>
      <c r="P33" s="3"/>
      <c r="Q33" s="3"/>
      <c r="R33" s="3"/>
      <c r="S33" s="3" t="s">
        <v>136</v>
      </c>
      <c r="T33" s="3" t="s">
        <v>137</v>
      </c>
    </row>
    <row r="34" spans="2:20">
      <c r="B34" t="s">
        <v>619</v>
      </c>
      <c r="C34" t="s">
        <v>620</v>
      </c>
      <c r="D34" t="str">
        <f t="shared" si="0"/>
        <v>(m.)</v>
      </c>
      <c r="E34" t="s">
        <v>73</v>
      </c>
      <c r="H34" s="3" t="s">
        <v>214</v>
      </c>
      <c r="I34" s="37"/>
      <c r="J34" s="3" t="s">
        <v>215</v>
      </c>
      <c r="K34" s="3"/>
      <c r="L34" s="3"/>
      <c r="M34" s="3"/>
      <c r="N34" s="3" t="s">
        <v>1209</v>
      </c>
      <c r="O34" s="3" t="s">
        <v>1210</v>
      </c>
      <c r="P34" s="3" t="s">
        <v>1211</v>
      </c>
      <c r="Q34" s="3" t="s">
        <v>1212</v>
      </c>
      <c r="R34" s="3"/>
      <c r="S34" t="s">
        <v>978</v>
      </c>
      <c r="T34" t="s">
        <v>979</v>
      </c>
    </row>
    <row r="35" spans="2:20">
      <c r="B35" t="s">
        <v>785</v>
      </c>
      <c r="C35" t="s">
        <v>791</v>
      </c>
      <c r="D35" t="str">
        <f t="shared" si="0"/>
        <v>(f.)</v>
      </c>
      <c r="E35" t="s">
        <v>786</v>
      </c>
      <c r="F35" t="s">
        <v>792</v>
      </c>
      <c r="G35" t="s">
        <v>793</v>
      </c>
      <c r="H35" s="3" t="s">
        <v>222</v>
      </c>
      <c r="I35" s="37"/>
      <c r="J35" s="3" t="s">
        <v>223</v>
      </c>
      <c r="K35" s="3"/>
      <c r="L35" s="3"/>
      <c r="M35" s="3"/>
      <c r="N35" s="3" t="s">
        <v>327</v>
      </c>
      <c r="O35" s="3" t="s">
        <v>328</v>
      </c>
      <c r="P35" s="3"/>
      <c r="Q35" s="3"/>
      <c r="R35" s="3"/>
      <c r="S35" s="3" t="s">
        <v>146</v>
      </c>
      <c r="T35" s="3" t="s">
        <v>147</v>
      </c>
    </row>
    <row r="36" spans="2:20">
      <c r="B36" t="s">
        <v>927</v>
      </c>
      <c r="C36" t="s">
        <v>928</v>
      </c>
      <c r="D36" t="str">
        <f t="shared" si="0"/>
        <v>(f.)</v>
      </c>
      <c r="E36" t="s">
        <v>73</v>
      </c>
      <c r="F36" t="s">
        <v>929</v>
      </c>
      <c r="G36" t="s">
        <v>930</v>
      </c>
      <c r="H36" s="3" t="s">
        <v>422</v>
      </c>
      <c r="I36" s="37" t="s">
        <v>901</v>
      </c>
      <c r="J36" s="3" t="s">
        <v>423</v>
      </c>
      <c r="K36" s="3"/>
      <c r="L36" s="3"/>
      <c r="M36" s="3"/>
      <c r="N36" s="3" t="s">
        <v>200</v>
      </c>
      <c r="O36" s="3" t="s">
        <v>201</v>
      </c>
      <c r="P36" s="3"/>
      <c r="Q36" s="3"/>
      <c r="R36" s="3"/>
      <c r="S36" t="s">
        <v>275</v>
      </c>
      <c r="T36" t="s">
        <v>276</v>
      </c>
    </row>
    <row r="37" spans="2:20">
      <c r="B37" t="s">
        <v>22</v>
      </c>
      <c r="C37" t="s">
        <v>23</v>
      </c>
      <c r="D37" t="str">
        <f t="shared" si="0"/>
        <v>(f.)</v>
      </c>
      <c r="E37" t="s">
        <v>24</v>
      </c>
      <c r="F37" t="s">
        <v>25</v>
      </c>
      <c r="G37">
        <v>1</v>
      </c>
      <c r="H37" s="3" t="s">
        <v>228</v>
      </c>
      <c r="I37" s="37"/>
      <c r="J37" s="3" t="s">
        <v>229</v>
      </c>
      <c r="K37" s="3"/>
      <c r="L37" s="3"/>
      <c r="M37" s="3"/>
      <c r="N37" s="3" t="s">
        <v>208</v>
      </c>
      <c r="O37" s="3" t="s">
        <v>209</v>
      </c>
      <c r="P37" s="3"/>
      <c r="Q37" s="3"/>
      <c r="R37" s="3"/>
      <c r="S37" t="s">
        <v>1057</v>
      </c>
      <c r="T37" t="s">
        <v>1058</v>
      </c>
    </row>
    <row r="38" spans="2:20">
      <c r="B38" t="s">
        <v>500</v>
      </c>
      <c r="C38" t="s">
        <v>501</v>
      </c>
      <c r="D38" t="str">
        <f t="shared" si="0"/>
        <v>(m.)</v>
      </c>
      <c r="E38" t="s">
        <v>73</v>
      </c>
      <c r="H38" s="3" t="s">
        <v>410</v>
      </c>
      <c r="I38" s="37" t="s">
        <v>903</v>
      </c>
      <c r="J38" s="3" t="s">
        <v>411</v>
      </c>
      <c r="K38" s="3"/>
      <c r="L38" s="3"/>
      <c r="M38" s="3"/>
      <c r="N38" s="3" t="s">
        <v>973</v>
      </c>
      <c r="O38" s="3" t="s">
        <v>966</v>
      </c>
      <c r="P38" s="3"/>
      <c r="Q38" s="3"/>
      <c r="R38" s="3"/>
      <c r="S38" t="s">
        <v>156</v>
      </c>
      <c r="T38" t="s">
        <v>157</v>
      </c>
    </row>
    <row r="39" spans="2:20">
      <c r="B39" s="3" t="s">
        <v>593</v>
      </c>
      <c r="C39" s="3" t="s">
        <v>594</v>
      </c>
      <c r="D39" t="str">
        <f t="shared" si="0"/>
        <v>(m.)</v>
      </c>
      <c r="E39" t="s">
        <v>73</v>
      </c>
      <c r="F39" s="3"/>
      <c r="G39" s="3"/>
      <c r="H39" s="3" t="s">
        <v>1138</v>
      </c>
      <c r="I39" s="37" t="s">
        <v>900</v>
      </c>
      <c r="J39" s="3" t="s">
        <v>1139</v>
      </c>
      <c r="K39" s="3"/>
      <c r="L39" s="3" t="s">
        <v>1207</v>
      </c>
      <c r="M39" s="3" t="s">
        <v>1208</v>
      </c>
      <c r="N39" s="3" t="s">
        <v>216</v>
      </c>
      <c r="O39" s="3" t="s">
        <v>217</v>
      </c>
      <c r="P39" s="3"/>
      <c r="Q39" s="3"/>
      <c r="R39" s="3"/>
      <c r="S39" t="s">
        <v>247</v>
      </c>
      <c r="T39" t="s">
        <v>904</v>
      </c>
    </row>
    <row r="40" spans="2:20">
      <c r="B40" s="3" t="s">
        <v>436</v>
      </c>
      <c r="C40" s="3" t="s">
        <v>437</v>
      </c>
      <c r="D40" t="str">
        <f t="shared" ref="D40:D71" si="1">IF(RIGHT(B40, 2) = "is", "(m.)", IF(RIGHT(B40, 1) = "a", "(f.)", "(m.)"))</f>
        <v>(f.)</v>
      </c>
      <c r="E40" t="s">
        <v>73</v>
      </c>
      <c r="F40" s="3"/>
      <c r="G40" s="3"/>
      <c r="H40" s="3" t="s">
        <v>236</v>
      </c>
      <c r="I40" s="37"/>
      <c r="J40" s="3" t="s">
        <v>237</v>
      </c>
      <c r="K40" s="3"/>
      <c r="L40" s="3"/>
      <c r="M40" s="3"/>
      <c r="N40" s="3" t="s">
        <v>333</v>
      </c>
      <c r="O40" s="3" t="s">
        <v>1099</v>
      </c>
      <c r="P40" s="3"/>
      <c r="Q40" s="3" t="s">
        <v>1098</v>
      </c>
      <c r="R40" s="3" t="s">
        <v>1193</v>
      </c>
      <c r="S40" t="s">
        <v>164</v>
      </c>
      <c r="T40" t="s">
        <v>165</v>
      </c>
    </row>
    <row r="41" spans="2:20">
      <c r="B41" s="3" t="s">
        <v>438</v>
      </c>
      <c r="C41" s="3" t="s">
        <v>439</v>
      </c>
      <c r="D41" t="str">
        <f t="shared" si="1"/>
        <v>(m.)</v>
      </c>
      <c r="E41" t="s">
        <v>73</v>
      </c>
      <c r="F41" s="3"/>
      <c r="G41" s="3"/>
      <c r="H41" s="3" t="s">
        <v>905</v>
      </c>
      <c r="I41" s="37"/>
      <c r="J41" s="3" t="s">
        <v>244</v>
      </c>
      <c r="K41" s="3"/>
      <c r="L41" s="3"/>
      <c r="M41" s="3"/>
      <c r="N41" s="3" t="s">
        <v>1010</v>
      </c>
      <c r="O41" s="3" t="s">
        <v>1012</v>
      </c>
      <c r="P41" s="3" t="s">
        <v>1013</v>
      </c>
      <c r="Q41" s="3" t="s">
        <v>1014</v>
      </c>
      <c r="R41" s="3"/>
      <c r="S41" s="3" t="s">
        <v>1015</v>
      </c>
      <c r="T41" s="3" t="s">
        <v>180</v>
      </c>
    </row>
    <row r="42" spans="2:20">
      <c r="B42" s="3" t="s">
        <v>641</v>
      </c>
      <c r="C42" s="3" t="s">
        <v>642</v>
      </c>
      <c r="D42" t="str">
        <f t="shared" si="1"/>
        <v>(f.)</v>
      </c>
      <c r="E42" t="s">
        <v>73</v>
      </c>
      <c r="F42" s="3"/>
      <c r="G42" s="3"/>
      <c r="H42" s="3" t="s">
        <v>414</v>
      </c>
      <c r="I42" s="37" t="s">
        <v>900</v>
      </c>
      <c r="J42" s="3" t="s">
        <v>415</v>
      </c>
      <c r="K42" s="3"/>
      <c r="L42" s="3"/>
      <c r="M42" s="3"/>
      <c r="N42" s="3" t="s">
        <v>350</v>
      </c>
      <c r="O42" s="3" t="s">
        <v>351</v>
      </c>
      <c r="P42" s="3"/>
      <c r="Q42" s="3"/>
      <c r="R42" s="3"/>
      <c r="S42" t="s">
        <v>1125</v>
      </c>
      <c r="T42" t="s">
        <v>1236</v>
      </c>
    </row>
    <row r="43" spans="2:20">
      <c r="B43" t="s">
        <v>536</v>
      </c>
      <c r="C43" t="s">
        <v>537</v>
      </c>
      <c r="D43" t="str">
        <f t="shared" si="1"/>
        <v>(f.)</v>
      </c>
      <c r="E43" t="s">
        <v>73</v>
      </c>
      <c r="H43" s="3" t="s">
        <v>1065</v>
      </c>
      <c r="I43" s="37" t="s">
        <v>1064</v>
      </c>
      <c r="J43" s="3" t="s">
        <v>1061</v>
      </c>
      <c r="K43" s="3"/>
      <c r="L43" s="3" t="s">
        <v>1062</v>
      </c>
      <c r="M43" s="3" t="s">
        <v>1063</v>
      </c>
      <c r="N43" s="3" t="s">
        <v>224</v>
      </c>
      <c r="O43" s="3" t="s">
        <v>225</v>
      </c>
      <c r="P43" s="3"/>
      <c r="Q43" s="3"/>
      <c r="R43" s="3"/>
      <c r="S43" t="s">
        <v>252</v>
      </c>
      <c r="T43" t="s">
        <v>253</v>
      </c>
    </row>
    <row r="44" spans="2:20">
      <c r="B44" s="3" t="s">
        <v>492</v>
      </c>
      <c r="C44" s="3" t="s">
        <v>493</v>
      </c>
      <c r="D44" t="str">
        <f t="shared" si="1"/>
        <v>(f.)</v>
      </c>
      <c r="E44" t="s">
        <v>73</v>
      </c>
      <c r="F44" s="3"/>
      <c r="G44" s="3"/>
      <c r="H44" s="3" t="s">
        <v>249</v>
      </c>
      <c r="I44" s="37" t="s">
        <v>901</v>
      </c>
      <c r="J44" s="3" t="s">
        <v>250</v>
      </c>
      <c r="K44" s="3"/>
      <c r="L44" s="3" t="s">
        <v>1121</v>
      </c>
      <c r="M44" s="3">
        <v>2</v>
      </c>
      <c r="N44" s="3" t="s">
        <v>125</v>
      </c>
      <c r="O44" s="3" t="s">
        <v>1215</v>
      </c>
      <c r="P44" s="3" t="s">
        <v>1213</v>
      </c>
      <c r="Q44" s="3" t="s">
        <v>1214</v>
      </c>
      <c r="R44" s="3"/>
      <c r="S44" t="s">
        <v>260</v>
      </c>
      <c r="T44" t="s">
        <v>1235</v>
      </c>
    </row>
    <row r="45" spans="2:20">
      <c r="B45" t="s">
        <v>607</v>
      </c>
      <c r="C45" t="s">
        <v>608</v>
      </c>
      <c r="D45" t="str">
        <f t="shared" si="1"/>
        <v>(m.)</v>
      </c>
      <c r="E45" t="s">
        <v>73</v>
      </c>
      <c r="H45" s="3" t="s">
        <v>256</v>
      </c>
      <c r="I45" s="37"/>
      <c r="J45" s="3" t="s">
        <v>257</v>
      </c>
      <c r="K45" s="3"/>
      <c r="L45" s="3"/>
      <c r="M45" s="3"/>
      <c r="N45" s="3" t="s">
        <v>1122</v>
      </c>
      <c r="O45" s="3" t="s">
        <v>1123</v>
      </c>
      <c r="P45" s="3"/>
      <c r="Q45" s="3" t="s">
        <v>1124</v>
      </c>
      <c r="R45" s="3"/>
      <c r="S45" t="s">
        <v>298</v>
      </c>
      <c r="T45" t="s">
        <v>299</v>
      </c>
    </row>
    <row r="46" spans="2:20">
      <c r="B46" t="s">
        <v>428</v>
      </c>
      <c r="C46" t="s">
        <v>429</v>
      </c>
      <c r="D46" t="str">
        <f t="shared" si="1"/>
        <v>(m.)</v>
      </c>
      <c r="E46" t="s">
        <v>73</v>
      </c>
      <c r="H46" s="3" t="s">
        <v>263</v>
      </c>
      <c r="I46" s="37"/>
      <c r="J46" s="3" t="s">
        <v>264</v>
      </c>
      <c r="K46" s="3"/>
      <c r="L46" s="3"/>
      <c r="M46" s="3"/>
      <c r="N46" s="3" t="s">
        <v>230</v>
      </c>
      <c r="O46" s="3" t="s">
        <v>231</v>
      </c>
      <c r="P46" s="3"/>
      <c r="Q46" s="3"/>
      <c r="R46" s="3"/>
      <c r="S46" t="s">
        <v>240</v>
      </c>
      <c r="T46" t="s">
        <v>241</v>
      </c>
    </row>
    <row r="47" spans="2:20">
      <c r="B47" t="s">
        <v>601</v>
      </c>
      <c r="C47" t="s">
        <v>602</v>
      </c>
      <c r="D47" t="str">
        <f t="shared" si="1"/>
        <v>(m.)</v>
      </c>
      <c r="E47" t="s">
        <v>73</v>
      </c>
      <c r="H47" s="3" t="s">
        <v>271</v>
      </c>
      <c r="I47" s="37" t="s">
        <v>900</v>
      </c>
      <c r="J47" s="3" t="s">
        <v>272</v>
      </c>
      <c r="K47" s="3"/>
      <c r="L47" s="3"/>
      <c r="M47" s="3"/>
      <c r="N47" s="3" t="s">
        <v>238</v>
      </c>
      <c r="O47" s="3" t="s">
        <v>239</v>
      </c>
      <c r="P47" s="3"/>
      <c r="Q47" s="3"/>
      <c r="R47" s="3"/>
      <c r="S47" s="3" t="s">
        <v>187</v>
      </c>
      <c r="T47" s="3" t="s">
        <v>188</v>
      </c>
    </row>
    <row r="48" spans="2:20">
      <c r="B48" t="s">
        <v>140</v>
      </c>
      <c r="C48" t="s">
        <v>141</v>
      </c>
      <c r="D48" t="str">
        <f t="shared" si="1"/>
        <v>(f.)</v>
      </c>
      <c r="E48" t="s">
        <v>73</v>
      </c>
      <c r="H48" s="3" t="s">
        <v>279</v>
      </c>
      <c r="I48" s="37" t="s">
        <v>903</v>
      </c>
      <c r="J48" s="3" t="s">
        <v>280</v>
      </c>
      <c r="K48" s="3"/>
      <c r="L48" s="3"/>
      <c r="M48" s="3"/>
      <c r="N48" s="3" t="s">
        <v>1109</v>
      </c>
      <c r="O48" s="3" t="s">
        <v>1110</v>
      </c>
      <c r="P48" s="3"/>
      <c r="Q48" s="3" t="s">
        <v>1111</v>
      </c>
      <c r="R48" s="3"/>
      <c r="S48" t="s">
        <v>172</v>
      </c>
      <c r="T48" t="s">
        <v>173</v>
      </c>
    </row>
    <row r="49" spans="2:20">
      <c r="B49" s="3" t="s">
        <v>420</v>
      </c>
      <c r="C49" s="3" t="s">
        <v>421</v>
      </c>
      <c r="D49" t="str">
        <f t="shared" si="1"/>
        <v>(m.)</v>
      </c>
      <c r="E49" t="s">
        <v>73</v>
      </c>
      <c r="F49" s="3"/>
      <c r="G49" s="3"/>
      <c r="H49" s="3" t="s">
        <v>287</v>
      </c>
      <c r="I49" s="37" t="s">
        <v>901</v>
      </c>
      <c r="J49" s="3" t="s">
        <v>288</v>
      </c>
      <c r="K49" s="3"/>
      <c r="L49" s="3"/>
      <c r="M49" s="3"/>
      <c r="N49" s="3" t="s">
        <v>245</v>
      </c>
      <c r="O49" s="3" t="s">
        <v>246</v>
      </c>
      <c r="P49" s="3"/>
      <c r="Q49" s="3"/>
      <c r="R49" s="3"/>
      <c r="S49" t="s">
        <v>1301</v>
      </c>
      <c r="T49" t="s">
        <v>1300</v>
      </c>
    </row>
    <row r="50" spans="2:20">
      <c r="B50" t="s">
        <v>47</v>
      </c>
      <c r="C50" t="s">
        <v>48</v>
      </c>
      <c r="D50" t="str">
        <f t="shared" si="1"/>
        <v>(m.)</v>
      </c>
      <c r="E50" t="s">
        <v>49</v>
      </c>
      <c r="F50" t="s">
        <v>50</v>
      </c>
      <c r="G50">
        <v>1</v>
      </c>
      <c r="H50" s="3" t="s">
        <v>294</v>
      </c>
      <c r="I50" s="37"/>
      <c r="J50" s="3" t="s">
        <v>295</v>
      </c>
      <c r="K50" s="3"/>
      <c r="L50" s="3"/>
      <c r="M50" s="3"/>
      <c r="N50" s="3" t="s">
        <v>344</v>
      </c>
      <c r="O50" s="3" t="s">
        <v>345</v>
      </c>
      <c r="P50" s="3"/>
      <c r="Q50" s="3"/>
      <c r="R50" s="3"/>
    </row>
    <row r="51" spans="2:20">
      <c r="B51" s="3" t="s">
        <v>462</v>
      </c>
      <c r="C51" s="3" t="s">
        <v>463</v>
      </c>
      <c r="D51" t="str">
        <f t="shared" si="1"/>
        <v>(m.)</v>
      </c>
      <c r="E51" t="s">
        <v>73</v>
      </c>
      <c r="F51" s="3"/>
      <c r="G51" s="3"/>
      <c r="H51" s="3" t="s">
        <v>302</v>
      </c>
      <c r="I51" s="37" t="s">
        <v>900</v>
      </c>
      <c r="J51" s="3" t="s">
        <v>303</v>
      </c>
      <c r="K51" s="3"/>
      <c r="L51" s="3"/>
      <c r="M51" s="3"/>
      <c r="N51" s="3" t="s">
        <v>919</v>
      </c>
      <c r="O51" s="3" t="s">
        <v>251</v>
      </c>
      <c r="P51" s="3"/>
      <c r="Q51" s="3"/>
      <c r="R51" s="3"/>
    </row>
    <row r="52" spans="2:20">
      <c r="B52" t="s">
        <v>235</v>
      </c>
      <c r="C52" s="3" t="s">
        <v>523</v>
      </c>
      <c r="D52" t="str">
        <f t="shared" si="1"/>
        <v>(m.)</v>
      </c>
      <c r="E52" t="s">
        <v>73</v>
      </c>
      <c r="F52" s="3"/>
      <c r="G52" s="3"/>
      <c r="H52" s="3" t="s">
        <v>307</v>
      </c>
      <c r="I52" s="37" t="s">
        <v>900</v>
      </c>
      <c r="J52" s="3" t="s">
        <v>308</v>
      </c>
      <c r="K52" s="3"/>
      <c r="L52" s="3"/>
      <c r="M52" s="3"/>
      <c r="N52" s="3" t="s">
        <v>258</v>
      </c>
      <c r="O52" s="3" t="s">
        <v>259</v>
      </c>
      <c r="P52" s="3"/>
      <c r="Q52" s="3"/>
      <c r="R52" s="3"/>
    </row>
    <row r="53" spans="2:20">
      <c r="B53" t="s">
        <v>647</v>
      </c>
      <c r="C53" t="s">
        <v>648</v>
      </c>
      <c r="D53" t="str">
        <f t="shared" si="1"/>
        <v>(m.)</v>
      </c>
      <c r="E53" t="s">
        <v>73</v>
      </c>
      <c r="H53" s="3" t="s">
        <v>313</v>
      </c>
      <c r="I53" s="37"/>
      <c r="J53" s="3" t="s">
        <v>314</v>
      </c>
      <c r="K53" s="3"/>
      <c r="L53" s="3"/>
      <c r="M53" s="3"/>
      <c r="N53" s="3" t="s">
        <v>356</v>
      </c>
      <c r="O53" s="3" t="s">
        <v>357</v>
      </c>
      <c r="P53" s="3"/>
      <c r="Q53" s="3"/>
      <c r="R53" s="3"/>
    </row>
    <row r="54" spans="2:20">
      <c r="B54" t="s">
        <v>468</v>
      </c>
      <c r="C54" t="s">
        <v>469</v>
      </c>
      <c r="D54" t="str">
        <f t="shared" si="1"/>
        <v>(f.)</v>
      </c>
      <c r="E54" t="s">
        <v>73</v>
      </c>
      <c r="H54" s="3" t="s">
        <v>319</v>
      </c>
      <c r="I54" s="37"/>
      <c r="J54" s="3" t="s">
        <v>320</v>
      </c>
      <c r="K54" s="3"/>
      <c r="L54" s="3"/>
      <c r="M54" s="3"/>
      <c r="N54" s="3" t="s">
        <v>265</v>
      </c>
      <c r="O54" s="3" t="s">
        <v>266</v>
      </c>
      <c r="P54" s="3"/>
      <c r="Q54" s="3"/>
      <c r="R54" s="3"/>
    </row>
    <row r="55" spans="2:20">
      <c r="B55" t="s">
        <v>564</v>
      </c>
      <c r="C55" t="s">
        <v>565</v>
      </c>
      <c r="D55" t="str">
        <f t="shared" si="1"/>
        <v>(f.)</v>
      </c>
      <c r="E55" t="s">
        <v>73</v>
      </c>
      <c r="H55" s="3" t="s">
        <v>325</v>
      </c>
      <c r="I55" s="37"/>
      <c r="J55" s="3" t="s">
        <v>326</v>
      </c>
      <c r="K55" s="3"/>
      <c r="L55" s="3"/>
      <c r="M55" s="3"/>
      <c r="N55" s="3" t="s">
        <v>273</v>
      </c>
      <c r="O55" s="3" t="s">
        <v>274</v>
      </c>
      <c r="P55" s="3"/>
      <c r="Q55" s="3"/>
      <c r="R55" s="3"/>
    </row>
    <row r="56" spans="2:20">
      <c r="B56" t="s">
        <v>1072</v>
      </c>
      <c r="C56" t="s">
        <v>1070</v>
      </c>
      <c r="D56" t="str">
        <f t="shared" si="1"/>
        <v>(m.)</v>
      </c>
      <c r="E56" t="s">
        <v>73</v>
      </c>
      <c r="F56" t="s">
        <v>1071</v>
      </c>
      <c r="H56" s="3" t="s">
        <v>331</v>
      </c>
      <c r="I56" s="37"/>
      <c r="J56" s="3" t="s">
        <v>332</v>
      </c>
      <c r="K56" s="3"/>
      <c r="L56" s="3"/>
      <c r="M56" s="3"/>
      <c r="N56" s="3" t="s">
        <v>281</v>
      </c>
      <c r="O56" s="3" t="s">
        <v>282</v>
      </c>
      <c r="P56" s="3"/>
      <c r="Q56" s="3"/>
      <c r="R56" s="3"/>
    </row>
    <row r="57" spans="2:20">
      <c r="B57" t="s">
        <v>542</v>
      </c>
      <c r="C57" t="s">
        <v>543</v>
      </c>
      <c r="D57" t="str">
        <f t="shared" si="1"/>
        <v>(f.)</v>
      </c>
      <c r="E57" t="s">
        <v>73</v>
      </c>
      <c r="H57" s="3" t="s">
        <v>418</v>
      </c>
      <c r="I57" s="37" t="s">
        <v>900</v>
      </c>
      <c r="J57" s="3" t="s">
        <v>419</v>
      </c>
      <c r="K57" s="3"/>
      <c r="L57" s="3"/>
      <c r="M57" s="3"/>
      <c r="N57" s="3" t="s">
        <v>920</v>
      </c>
      <c r="O57" s="3" t="s">
        <v>289</v>
      </c>
      <c r="P57" s="3"/>
      <c r="Q57" s="3"/>
      <c r="R57" s="3"/>
    </row>
    <row r="58" spans="2:20">
      <c r="B58" t="s">
        <v>579</v>
      </c>
      <c r="C58" t="s">
        <v>580</v>
      </c>
      <c r="D58" t="str">
        <f t="shared" si="1"/>
        <v>(m.)</v>
      </c>
      <c r="E58" t="s">
        <v>73</v>
      </c>
      <c r="H58" s="3" t="s">
        <v>336</v>
      </c>
      <c r="I58" s="37"/>
      <c r="J58" s="3" t="s">
        <v>337</v>
      </c>
      <c r="K58" s="3"/>
      <c r="L58" s="3"/>
      <c r="M58" s="3"/>
      <c r="N58" s="3" t="s">
        <v>1113</v>
      </c>
      <c r="O58" s="3" t="s">
        <v>1112</v>
      </c>
      <c r="P58" s="3" t="s">
        <v>1114</v>
      </c>
      <c r="Q58" s="3" t="s">
        <v>1115</v>
      </c>
      <c r="R58" s="3" t="s">
        <v>1116</v>
      </c>
    </row>
    <row r="59" spans="2:20">
      <c r="B59" s="3" t="s">
        <v>498</v>
      </c>
      <c r="C59" s="3" t="s">
        <v>499</v>
      </c>
      <c r="D59" t="str">
        <f t="shared" si="1"/>
        <v>(f.)</v>
      </c>
      <c r="E59" t="s">
        <v>73</v>
      </c>
      <c r="F59" s="3"/>
      <c r="G59" s="3"/>
      <c r="H59" s="3" t="s">
        <v>342</v>
      </c>
      <c r="I59" s="37"/>
      <c r="J59" s="3" t="s">
        <v>343</v>
      </c>
      <c r="K59" s="3"/>
      <c r="L59" s="3"/>
      <c r="M59" s="3"/>
      <c r="N59" s="3" t="s">
        <v>296</v>
      </c>
      <c r="O59" s="3" t="s">
        <v>297</v>
      </c>
      <c r="P59" s="3"/>
      <c r="Q59" s="3"/>
      <c r="R59" s="3"/>
    </row>
    <row r="60" spans="2:20">
      <c r="B60" t="s">
        <v>1016</v>
      </c>
      <c r="C60" t="s">
        <v>1017</v>
      </c>
      <c r="D60" t="str">
        <f t="shared" si="1"/>
        <v>(f.)</v>
      </c>
      <c r="E60" t="s">
        <v>73</v>
      </c>
      <c r="F60" t="s">
        <v>1018</v>
      </c>
      <c r="G60" t="s">
        <v>1019</v>
      </c>
      <c r="H60" s="3" t="s">
        <v>426</v>
      </c>
      <c r="I60" s="37" t="s">
        <v>901</v>
      </c>
      <c r="J60" s="3" t="s">
        <v>427</v>
      </c>
      <c r="K60" s="3"/>
      <c r="L60" s="3"/>
      <c r="M60" s="3"/>
      <c r="N60" s="3" t="s">
        <v>321</v>
      </c>
      <c r="O60" s="3" t="s">
        <v>322</v>
      </c>
      <c r="P60" s="3"/>
      <c r="Q60" s="3"/>
      <c r="R60" s="3"/>
    </row>
    <row r="61" spans="2:20">
      <c r="B61" t="s">
        <v>597</v>
      </c>
      <c r="C61" t="s">
        <v>598</v>
      </c>
      <c r="D61" t="str">
        <f t="shared" si="1"/>
        <v>(m.)</v>
      </c>
      <c r="E61" t="s">
        <v>73</v>
      </c>
      <c r="H61" s="3" t="s">
        <v>348</v>
      </c>
      <c r="I61" s="37"/>
      <c r="J61" s="3" t="s">
        <v>349</v>
      </c>
      <c r="K61" s="3"/>
      <c r="L61" s="3" t="s">
        <v>1269</v>
      </c>
      <c r="M61" s="3" t="s">
        <v>1270</v>
      </c>
      <c r="N61" s="3" t="s">
        <v>304</v>
      </c>
      <c r="O61" s="3" t="s">
        <v>305</v>
      </c>
      <c r="P61" s="3"/>
      <c r="Q61" s="3"/>
      <c r="R61" s="3"/>
    </row>
    <row r="62" spans="2:20">
      <c r="B62" t="s">
        <v>1204</v>
      </c>
      <c r="C62" t="s">
        <v>1203</v>
      </c>
      <c r="D62" t="str">
        <f t="shared" si="1"/>
        <v>(m.)</v>
      </c>
      <c r="E62" t="s">
        <v>1205</v>
      </c>
      <c r="F62" t="s">
        <v>1206</v>
      </c>
      <c r="H62" s="3" t="s">
        <v>354</v>
      </c>
      <c r="I62" s="37"/>
      <c r="J62" s="3" t="s">
        <v>355</v>
      </c>
      <c r="K62" s="3"/>
      <c r="L62" s="3"/>
      <c r="M62" s="3"/>
      <c r="N62" s="3" t="s">
        <v>309</v>
      </c>
      <c r="O62" s="3" t="s">
        <v>310</v>
      </c>
      <c r="P62" s="3"/>
      <c r="Q62" s="3"/>
      <c r="R62" s="3"/>
    </row>
    <row r="63" spans="2:20">
      <c r="B63" s="3" t="s">
        <v>226</v>
      </c>
      <c r="C63" s="3" t="s">
        <v>227</v>
      </c>
      <c r="D63" t="str">
        <f t="shared" si="1"/>
        <v>(m.)</v>
      </c>
      <c r="E63" t="s">
        <v>73</v>
      </c>
      <c r="F63" s="3"/>
      <c r="G63" s="3"/>
      <c r="H63" s="3" t="s">
        <v>360</v>
      </c>
      <c r="I63" s="37"/>
      <c r="J63" s="3" t="s">
        <v>361</v>
      </c>
      <c r="K63" s="3"/>
      <c r="L63" s="3"/>
      <c r="M63" s="3"/>
      <c r="N63" s="3" t="s">
        <v>1221</v>
      </c>
      <c r="O63" t="s">
        <v>1220</v>
      </c>
      <c r="P63" s="3" t="s">
        <v>1222</v>
      </c>
      <c r="Q63" s="3" t="s">
        <v>1224</v>
      </c>
      <c r="R63" s="3" t="s">
        <v>1233</v>
      </c>
    </row>
    <row r="64" spans="2:20">
      <c r="B64" t="s">
        <v>526</v>
      </c>
      <c r="C64" t="s">
        <v>527</v>
      </c>
      <c r="D64" t="str">
        <f t="shared" si="1"/>
        <v>(m.)</v>
      </c>
      <c r="E64" t="s">
        <v>73</v>
      </c>
      <c r="H64" s="3" t="s">
        <v>366</v>
      </c>
      <c r="I64" s="37"/>
      <c r="J64" s="3" t="s">
        <v>367</v>
      </c>
      <c r="K64" s="3"/>
      <c r="L64" s="3"/>
      <c r="M64" s="3"/>
      <c r="N64" s="3" t="s">
        <v>1244</v>
      </c>
      <c r="O64" s="3" t="s">
        <v>1242</v>
      </c>
      <c r="P64" s="3" t="s">
        <v>1241</v>
      </c>
      <c r="Q64" s="3" t="s">
        <v>1243</v>
      </c>
      <c r="R64" s="3"/>
    </row>
    <row r="65" spans="2:18">
      <c r="B65" t="s">
        <v>532</v>
      </c>
      <c r="C65" t="s">
        <v>533</v>
      </c>
      <c r="D65" t="str">
        <f t="shared" si="1"/>
        <v>(f.)</v>
      </c>
      <c r="E65" t="s">
        <v>73</v>
      </c>
      <c r="H65" s="3" t="s">
        <v>372</v>
      </c>
      <c r="I65" s="37"/>
      <c r="J65" s="3" t="s">
        <v>373</v>
      </c>
      <c r="K65" s="3"/>
      <c r="L65" s="3"/>
      <c r="M65" s="3"/>
      <c r="N65" s="3" t="s">
        <v>1290</v>
      </c>
      <c r="O65" s="3" t="s">
        <v>1291</v>
      </c>
      <c r="P65" s="3" t="s">
        <v>1292</v>
      </c>
      <c r="Q65" s="3" t="s">
        <v>1293</v>
      </c>
      <c r="R65" s="3"/>
    </row>
    <row r="66" spans="2:18">
      <c r="B66" s="3" t="s">
        <v>430</v>
      </c>
      <c r="C66" s="3" t="s">
        <v>431</v>
      </c>
      <c r="D66" t="str">
        <f t="shared" si="1"/>
        <v>(f.)</v>
      </c>
      <c r="E66" t="s">
        <v>73</v>
      </c>
      <c r="F66" s="3"/>
      <c r="G66" s="3"/>
      <c r="H66" s="3" t="s">
        <v>376</v>
      </c>
      <c r="I66" s="37"/>
      <c r="J66" s="3" t="s">
        <v>377</v>
      </c>
      <c r="K66" s="3"/>
      <c r="L66" s="3"/>
      <c r="M66" s="3"/>
      <c r="N66" s="3"/>
      <c r="O66" s="3"/>
      <c r="P66" s="3"/>
      <c r="Q66" s="3"/>
      <c r="R66" s="3"/>
    </row>
    <row r="67" spans="2:18">
      <c r="B67" t="s">
        <v>738</v>
      </c>
      <c r="C67" t="s">
        <v>1034</v>
      </c>
      <c r="D67" t="str">
        <f t="shared" si="1"/>
        <v>(f.)</v>
      </c>
      <c r="E67" t="s">
        <v>1035</v>
      </c>
      <c r="F67" t="s">
        <v>1036</v>
      </c>
      <c r="G67" t="s">
        <v>1029</v>
      </c>
      <c r="H67" s="3" t="s">
        <v>380</v>
      </c>
      <c r="I67" s="37"/>
      <c r="J67" s="3" t="s">
        <v>381</v>
      </c>
      <c r="K67" s="3"/>
      <c r="L67" s="3"/>
      <c r="M67" s="3"/>
      <c r="N67" s="3"/>
      <c r="O67" s="3"/>
      <c r="P67" s="3"/>
      <c r="Q67" s="3"/>
      <c r="R67" s="3"/>
    </row>
    <row r="68" spans="2:18">
      <c r="B68" s="3" t="s">
        <v>71</v>
      </c>
      <c r="C68" s="3" t="s">
        <v>72</v>
      </c>
      <c r="D68" t="str">
        <f t="shared" si="1"/>
        <v>(m.)</v>
      </c>
      <c r="E68" t="s">
        <v>765</v>
      </c>
      <c r="F68" s="3" t="s">
        <v>768</v>
      </c>
      <c r="G68" s="3"/>
      <c r="H68" s="3" t="s">
        <v>1068</v>
      </c>
      <c r="I68" s="37" t="s">
        <v>900</v>
      </c>
      <c r="J68" s="3" t="s">
        <v>1066</v>
      </c>
      <c r="K68" s="3" t="s">
        <v>1069</v>
      </c>
      <c r="L68" s="3" t="s">
        <v>1067</v>
      </c>
      <c r="M68" s="3">
        <v>1</v>
      </c>
      <c r="N68" s="3"/>
      <c r="O68" s="3"/>
      <c r="P68" s="3"/>
      <c r="Q68" s="3"/>
      <c r="R68" s="3"/>
    </row>
    <row r="69" spans="2:18">
      <c r="B69" t="s">
        <v>980</v>
      </c>
      <c r="C69" t="s">
        <v>981</v>
      </c>
      <c r="D69" t="str">
        <f t="shared" si="1"/>
        <v>(m.)</v>
      </c>
      <c r="E69" t="s">
        <v>986</v>
      </c>
      <c r="F69" t="s">
        <v>983</v>
      </c>
      <c r="G69" t="s">
        <v>984</v>
      </c>
      <c r="H69" s="3" t="s">
        <v>384</v>
      </c>
      <c r="I69" s="37" t="s">
        <v>900</v>
      </c>
      <c r="J69" s="3" t="s">
        <v>385</v>
      </c>
      <c r="K69" s="3"/>
      <c r="L69" s="3"/>
      <c r="M69" s="3"/>
      <c r="N69" s="3"/>
      <c r="O69" s="3"/>
      <c r="P69" s="3"/>
      <c r="Q69" s="3"/>
      <c r="R69" s="3"/>
    </row>
    <row r="70" spans="2:18">
      <c r="B70" s="3" t="s">
        <v>510</v>
      </c>
      <c r="C70" s="3" t="s">
        <v>1162</v>
      </c>
      <c r="D70" t="str">
        <f t="shared" si="1"/>
        <v>(m.)</v>
      </c>
      <c r="E70" t="s">
        <v>73</v>
      </c>
      <c r="F70" s="3"/>
      <c r="G70" s="3"/>
      <c r="H70" s="3" t="s">
        <v>388</v>
      </c>
      <c r="I70" s="37"/>
      <c r="J70" s="3" t="s">
        <v>389</v>
      </c>
      <c r="K70" s="3"/>
      <c r="L70" s="3"/>
      <c r="M70" s="3"/>
      <c r="N70" s="3"/>
      <c r="O70" s="3"/>
      <c r="P70" s="3"/>
      <c r="Q70" s="3"/>
      <c r="R70" s="3"/>
    </row>
    <row r="71" spans="2:18">
      <c r="B71" s="3" t="s">
        <v>402</v>
      </c>
      <c r="C71" s="3" t="s">
        <v>403</v>
      </c>
      <c r="D71" t="str">
        <f t="shared" si="1"/>
        <v>(m.)</v>
      </c>
      <c r="E71" t="s">
        <v>73</v>
      </c>
      <c r="F71" s="3" t="s">
        <v>816</v>
      </c>
      <c r="G71" s="3" t="s">
        <v>815</v>
      </c>
      <c r="H71" s="3" t="s">
        <v>392</v>
      </c>
      <c r="I71" s="37"/>
      <c r="J71" s="3" t="s">
        <v>393</v>
      </c>
      <c r="K71" s="3"/>
      <c r="L71" s="3"/>
      <c r="M71" s="3"/>
      <c r="N71" s="3"/>
      <c r="O71" s="3"/>
      <c r="P71" s="3"/>
      <c r="Q71" s="3"/>
      <c r="R71" s="3"/>
    </row>
    <row r="72" spans="2:18">
      <c r="B72" t="s">
        <v>802</v>
      </c>
      <c r="C72" t="s">
        <v>803</v>
      </c>
      <c r="D72" t="str">
        <f t="shared" ref="D72:D103" si="2">IF(RIGHT(B72, 2) = "is", "(m.)", IF(RIGHT(B72, 1) = "a", "(f.)", "(m.)"))</f>
        <v>(f.)</v>
      </c>
      <c r="E72" t="s">
        <v>1039</v>
      </c>
      <c r="F72" t="s">
        <v>1040</v>
      </c>
      <c r="H72" s="3" t="s">
        <v>781</v>
      </c>
      <c r="I72" s="37" t="s">
        <v>901</v>
      </c>
      <c r="J72" s="3" t="s">
        <v>780</v>
      </c>
      <c r="K72" s="3"/>
      <c r="L72" s="3"/>
      <c r="M72" s="3"/>
      <c r="N72" s="3"/>
      <c r="O72" s="3"/>
      <c r="P72" s="3"/>
      <c r="Q72" s="3"/>
      <c r="R72" s="3"/>
    </row>
    <row r="73" spans="2:18">
      <c r="B73" t="s">
        <v>603</v>
      </c>
      <c r="C73" t="s">
        <v>604</v>
      </c>
      <c r="D73" t="str">
        <f t="shared" si="2"/>
        <v>(m.)</v>
      </c>
      <c r="E73" t="s">
        <v>73</v>
      </c>
      <c r="H73" s="3" t="s">
        <v>396</v>
      </c>
      <c r="I73" s="37" t="s">
        <v>900</v>
      </c>
      <c r="J73" s="3" t="s">
        <v>397</v>
      </c>
      <c r="K73" s="3"/>
      <c r="L73" s="3"/>
      <c r="M73" s="3"/>
      <c r="N73" s="3"/>
      <c r="O73" s="3"/>
      <c r="P73" s="3"/>
      <c r="Q73" s="3"/>
      <c r="R73" s="3"/>
    </row>
    <row r="74" spans="2:18">
      <c r="B74" t="s">
        <v>277</v>
      </c>
      <c r="C74" t="s">
        <v>278</v>
      </c>
      <c r="D74" t="str">
        <f t="shared" si="2"/>
        <v>(f.)</v>
      </c>
      <c r="E74" t="s">
        <v>73</v>
      </c>
      <c r="H74" s="3" t="s">
        <v>400</v>
      </c>
      <c r="I74" s="37" t="s">
        <v>901</v>
      </c>
      <c r="J74" s="3" t="s">
        <v>401</v>
      </c>
      <c r="K74" s="3"/>
      <c r="L74" s="3" t="s">
        <v>1181</v>
      </c>
      <c r="M74" s="3" t="s">
        <v>1182</v>
      </c>
      <c r="N74" s="3"/>
      <c r="O74" s="3"/>
      <c r="P74" s="3"/>
      <c r="Q74" s="3"/>
      <c r="R74" s="3"/>
    </row>
    <row r="75" spans="2:18">
      <c r="B75" s="3" t="s">
        <v>635</v>
      </c>
      <c r="C75" s="3" t="s">
        <v>636</v>
      </c>
      <c r="D75" t="str">
        <f t="shared" si="2"/>
        <v>(m.)</v>
      </c>
      <c r="E75" t="s">
        <v>855</v>
      </c>
      <c r="F75" s="3" t="s">
        <v>856</v>
      </c>
      <c r="G75" s="3"/>
      <c r="H75" s="3" t="s">
        <v>404</v>
      </c>
      <c r="I75" s="37" t="s">
        <v>903</v>
      </c>
      <c r="J75" s="3" t="s">
        <v>405</v>
      </c>
      <c r="K75" s="3"/>
      <c r="L75" s="3"/>
      <c r="M75" s="3"/>
      <c r="N75" s="3"/>
      <c r="O75" s="3"/>
      <c r="P75" s="3"/>
      <c r="Q75" s="3"/>
      <c r="R75" s="3"/>
    </row>
    <row r="76" spans="2:18">
      <c r="B76" s="3" t="s">
        <v>390</v>
      </c>
      <c r="C76" s="3" t="s">
        <v>391</v>
      </c>
      <c r="D76" t="str">
        <f t="shared" si="2"/>
        <v>(m.)</v>
      </c>
      <c r="E76" t="s">
        <v>954</v>
      </c>
      <c r="F76" s="3" t="s">
        <v>955</v>
      </c>
      <c r="G76" s="3"/>
      <c r="H76" s="3" t="s">
        <v>1105</v>
      </c>
      <c r="I76" s="37"/>
      <c r="J76" s="3" t="s">
        <v>1100</v>
      </c>
      <c r="K76" s="3" t="s">
        <v>1102</v>
      </c>
      <c r="L76" s="3" t="s">
        <v>1101</v>
      </c>
      <c r="M76" s="3"/>
      <c r="N76" s="3"/>
      <c r="O76" s="3"/>
      <c r="P76" s="3"/>
      <c r="Q76" s="3"/>
      <c r="R76" s="3"/>
    </row>
    <row r="77" spans="2:18">
      <c r="B77" t="s">
        <v>595</v>
      </c>
      <c r="C77" t="s">
        <v>596</v>
      </c>
      <c r="D77" t="str">
        <f t="shared" si="2"/>
        <v>(m.)</v>
      </c>
      <c r="E77" t="s">
        <v>73</v>
      </c>
      <c r="H77" s="3" t="s">
        <v>408</v>
      </c>
      <c r="I77" s="37" t="s">
        <v>901</v>
      </c>
      <c r="J77" s="3" t="s">
        <v>409</v>
      </c>
      <c r="K77" s="3"/>
      <c r="L77" s="3"/>
      <c r="M77" s="3"/>
      <c r="N77" s="3"/>
      <c r="O77" s="3"/>
      <c r="P77" s="3"/>
      <c r="Q77" s="3"/>
      <c r="R77" s="3"/>
    </row>
    <row r="78" spans="2:18">
      <c r="B78" s="3" t="s">
        <v>306</v>
      </c>
      <c r="C78" s="3" t="s">
        <v>306</v>
      </c>
      <c r="D78" t="str">
        <f t="shared" si="2"/>
        <v>(f.)</v>
      </c>
      <c r="E78" t="s">
        <v>73</v>
      </c>
      <c r="F78" s="3"/>
      <c r="G78" s="3"/>
      <c r="H78" s="3"/>
      <c r="I78" s="37"/>
      <c r="J78" s="3"/>
      <c r="K78" s="3"/>
      <c r="L78" s="3"/>
      <c r="M78" s="3"/>
      <c r="N78" s="3"/>
      <c r="O78" s="3"/>
      <c r="P78" s="3"/>
      <c r="Q78" s="3"/>
      <c r="R78" s="3"/>
    </row>
    <row r="79" spans="2:18">
      <c r="B79" s="3" t="s">
        <v>653</v>
      </c>
      <c r="C79" s="3" t="s">
        <v>654</v>
      </c>
      <c r="D79" t="str">
        <f t="shared" si="2"/>
        <v>(m.)</v>
      </c>
      <c r="E79" t="s">
        <v>73</v>
      </c>
      <c r="F79" s="3"/>
      <c r="G79" s="3"/>
      <c r="H79" s="3" t="s">
        <v>1158</v>
      </c>
      <c r="I79" s="37" t="s">
        <v>900</v>
      </c>
      <c r="J79" s="3" t="s">
        <v>1159</v>
      </c>
      <c r="K79" s="3"/>
      <c r="L79" s="3"/>
      <c r="M79" s="3"/>
      <c r="N79" s="3"/>
      <c r="O79" s="3"/>
      <c r="P79" s="3"/>
      <c r="Q79" s="3"/>
      <c r="R79" s="3"/>
    </row>
    <row r="80" spans="2:18">
      <c r="B80" t="s">
        <v>673</v>
      </c>
      <c r="C80" t="s">
        <v>674</v>
      </c>
      <c r="D80" t="str">
        <f t="shared" si="2"/>
        <v>(f.)</v>
      </c>
      <c r="E80" t="s">
        <v>73</v>
      </c>
      <c r="H80" s="3" t="s">
        <v>1165</v>
      </c>
      <c r="I80" s="37"/>
      <c r="J80" s="3" t="s">
        <v>1163</v>
      </c>
      <c r="K80" s="3" t="s">
        <v>1166</v>
      </c>
      <c r="L80" s="3" t="s">
        <v>1164</v>
      </c>
      <c r="M80" s="3" t="s">
        <v>1171</v>
      </c>
      <c r="N80" s="3"/>
      <c r="O80" s="3"/>
      <c r="P80" s="3"/>
      <c r="Q80" s="3"/>
      <c r="R80" s="3"/>
    </row>
    <row r="81" spans="2:18">
      <c r="B81" t="s">
        <v>1003</v>
      </c>
      <c r="C81" t="s">
        <v>1001</v>
      </c>
      <c r="D81" t="str">
        <f t="shared" si="2"/>
        <v>(f.)</v>
      </c>
      <c r="E81" t="s">
        <v>1004</v>
      </c>
      <c r="F81" t="s">
        <v>1005</v>
      </c>
      <c r="H81" s="3" t="s">
        <v>1196</v>
      </c>
      <c r="I81" s="37" t="s">
        <v>900</v>
      </c>
      <c r="J81" s="3" t="s">
        <v>1195</v>
      </c>
      <c r="K81" s="3" t="s">
        <v>1197</v>
      </c>
      <c r="L81" s="3" t="s">
        <v>1202</v>
      </c>
      <c r="M81" s="3"/>
      <c r="N81" s="3"/>
      <c r="O81" s="3"/>
      <c r="P81" s="3"/>
      <c r="Q81" s="3"/>
      <c r="R81" s="3"/>
    </row>
    <row r="82" spans="2:18">
      <c r="B82" t="s">
        <v>540</v>
      </c>
      <c r="C82" t="s">
        <v>541</v>
      </c>
      <c r="D82" t="str">
        <f t="shared" si="2"/>
        <v>(m.)</v>
      </c>
      <c r="E82" t="s">
        <v>73</v>
      </c>
      <c r="H82" s="3" t="s">
        <v>1219</v>
      </c>
      <c r="I82" s="37" t="s">
        <v>900</v>
      </c>
      <c r="J82" s="3" t="s">
        <v>1217</v>
      </c>
      <c r="K82" s="3"/>
      <c r="L82" s="3" t="s">
        <v>1218</v>
      </c>
      <c r="M82" s="3"/>
      <c r="N82" s="3"/>
      <c r="O82" s="3"/>
      <c r="P82" s="3"/>
      <c r="Q82" s="3"/>
      <c r="R82" s="3"/>
    </row>
    <row r="83" spans="2:18">
      <c r="B83" t="s">
        <v>1002</v>
      </c>
      <c r="C83" t="s">
        <v>1000</v>
      </c>
      <c r="D83" t="str">
        <f t="shared" si="2"/>
        <v>(f.)</v>
      </c>
      <c r="E83" t="s">
        <v>998</v>
      </c>
      <c r="F83" t="s">
        <v>999</v>
      </c>
      <c r="H83" s="3" t="s">
        <v>1226</v>
      </c>
      <c r="I83" s="37" t="s">
        <v>900</v>
      </c>
      <c r="J83" s="3" t="s">
        <v>1225</v>
      </c>
      <c r="K83" s="3" t="s">
        <v>1227</v>
      </c>
      <c r="L83" s="3" t="s">
        <v>1228</v>
      </c>
      <c r="M83" s="3" t="s">
        <v>1233</v>
      </c>
      <c r="N83" s="3"/>
      <c r="O83" s="3"/>
      <c r="P83" s="3"/>
      <c r="Q83" s="3"/>
      <c r="R83" s="3"/>
    </row>
    <row r="84" spans="2:18">
      <c r="B84" s="3" t="s">
        <v>394</v>
      </c>
      <c r="C84" s="3" t="s">
        <v>395</v>
      </c>
      <c r="D84" t="str">
        <f t="shared" si="2"/>
        <v>(f.)</v>
      </c>
      <c r="E84" t="s">
        <v>73</v>
      </c>
      <c r="F84" s="3"/>
      <c r="G84" s="3"/>
      <c r="H84" s="3" t="s">
        <v>1265</v>
      </c>
      <c r="I84" s="37" t="s">
        <v>901</v>
      </c>
      <c r="J84" s="3" t="s">
        <v>1266</v>
      </c>
      <c r="K84" s="3" t="s">
        <v>1267</v>
      </c>
      <c r="L84" s="3" t="s">
        <v>1268</v>
      </c>
      <c r="M84" s="3"/>
      <c r="N84" s="3"/>
      <c r="O84" s="3"/>
      <c r="P84" s="3"/>
      <c r="Q84" s="3"/>
      <c r="R84" s="3"/>
    </row>
    <row r="85" spans="2:18">
      <c r="B85" t="s">
        <v>502</v>
      </c>
      <c r="C85" t="s">
        <v>503</v>
      </c>
      <c r="D85" t="str">
        <f t="shared" si="2"/>
        <v>(f.)</v>
      </c>
      <c r="E85" t="s">
        <v>73</v>
      </c>
      <c r="H85" s="3" t="s">
        <v>1294</v>
      </c>
      <c r="I85" s="37" t="s">
        <v>903</v>
      </c>
      <c r="J85" s="3" t="s">
        <v>1295</v>
      </c>
      <c r="K85" s="3" t="s">
        <v>1296</v>
      </c>
      <c r="L85" s="3" t="s">
        <v>1297</v>
      </c>
      <c r="M85" s="3"/>
      <c r="N85" s="3"/>
      <c r="O85" s="3"/>
      <c r="P85" s="3"/>
      <c r="Q85" s="3"/>
      <c r="R85" s="3"/>
    </row>
    <row r="86" spans="2:18">
      <c r="B86" t="s">
        <v>1157</v>
      </c>
      <c r="C86" t="s">
        <v>1156</v>
      </c>
      <c r="D86" t="str">
        <f t="shared" si="2"/>
        <v>(f.)</v>
      </c>
      <c r="E86" t="s">
        <v>73</v>
      </c>
      <c r="H86" s="3"/>
      <c r="I86" s="37"/>
      <c r="J86" s="3"/>
      <c r="K86" s="3"/>
      <c r="L86" s="3"/>
      <c r="M86" s="3"/>
      <c r="N86" s="3"/>
      <c r="O86" s="3"/>
      <c r="P86" s="3"/>
      <c r="Q86" s="3"/>
      <c r="R86" s="3"/>
    </row>
    <row r="87" spans="2:18">
      <c r="B87" s="3" t="s">
        <v>382</v>
      </c>
      <c r="C87" s="3" t="s">
        <v>383</v>
      </c>
      <c r="D87" t="str">
        <f t="shared" si="2"/>
        <v>(f.)</v>
      </c>
      <c r="E87" t="s">
        <v>73</v>
      </c>
      <c r="F87" s="3"/>
      <c r="G87" s="3"/>
      <c r="H87" s="3"/>
      <c r="I87" s="3"/>
      <c r="J87" s="3"/>
      <c r="K87" s="3"/>
      <c r="L87" s="3"/>
      <c r="M87" s="3"/>
      <c r="N87" s="3"/>
      <c r="O87" s="3"/>
      <c r="P87" s="3"/>
      <c r="Q87" s="3"/>
      <c r="R87" s="3"/>
    </row>
    <row r="88" spans="2:18">
      <c r="B88" t="s">
        <v>1175</v>
      </c>
      <c r="C88" t="s">
        <v>1173</v>
      </c>
      <c r="D88" t="str">
        <f t="shared" si="2"/>
        <v>(f.)</v>
      </c>
      <c r="E88" t="s">
        <v>1176</v>
      </c>
      <c r="F88" t="s">
        <v>1174</v>
      </c>
      <c r="G88" t="s">
        <v>1180</v>
      </c>
      <c r="Q88" s="3"/>
      <c r="R88" s="3"/>
    </row>
    <row r="89" spans="2:18">
      <c r="B89" t="s">
        <v>1077</v>
      </c>
      <c r="C89" t="s">
        <v>1073</v>
      </c>
      <c r="D89" t="str">
        <f t="shared" si="2"/>
        <v>(m.)</v>
      </c>
      <c r="E89" t="s">
        <v>1074</v>
      </c>
      <c r="F89" t="s">
        <v>1075</v>
      </c>
      <c r="G89" t="s">
        <v>1076</v>
      </c>
    </row>
    <row r="90" spans="2:18">
      <c r="B90" s="3" t="s">
        <v>581</v>
      </c>
      <c r="C90" s="3" t="s">
        <v>582</v>
      </c>
      <c r="D90" t="str">
        <f t="shared" si="2"/>
        <v>(f.)</v>
      </c>
      <c r="E90" t="s">
        <v>73</v>
      </c>
      <c r="F90" s="3"/>
      <c r="G90" s="3"/>
    </row>
    <row r="91" spans="2:18" ht="15" customHeight="1">
      <c r="B91" s="3" t="s">
        <v>639</v>
      </c>
      <c r="C91" s="3" t="s">
        <v>640</v>
      </c>
      <c r="D91" t="str">
        <f t="shared" si="2"/>
        <v>(m.)</v>
      </c>
      <c r="E91" t="s">
        <v>73</v>
      </c>
      <c r="F91" s="3"/>
      <c r="G91" s="3"/>
    </row>
    <row r="92" spans="2:18">
      <c r="B92" s="3" t="s">
        <v>577</v>
      </c>
      <c r="C92" s="3" t="s">
        <v>578</v>
      </c>
      <c r="D92" t="str">
        <f t="shared" si="2"/>
        <v>(m.)</v>
      </c>
      <c r="E92" t="s">
        <v>73</v>
      </c>
      <c r="F92" s="3"/>
      <c r="G92" s="3"/>
    </row>
    <row r="93" spans="2:18">
      <c r="B93" t="s">
        <v>111</v>
      </c>
      <c r="C93" t="s">
        <v>112</v>
      </c>
      <c r="D93" t="str">
        <f t="shared" si="2"/>
        <v>(m.)</v>
      </c>
      <c r="E93" t="s">
        <v>73</v>
      </c>
    </row>
    <row r="94" spans="2:18">
      <c r="B94" t="s">
        <v>956</v>
      </c>
      <c r="C94" t="s">
        <v>957</v>
      </c>
      <c r="D94" t="str">
        <f t="shared" si="2"/>
        <v>(f.)</v>
      </c>
      <c r="E94" t="s">
        <v>958</v>
      </c>
      <c r="F94" t="s">
        <v>959</v>
      </c>
    </row>
    <row r="95" spans="2:18">
      <c r="B95" t="s">
        <v>906</v>
      </c>
      <c r="C95" t="s">
        <v>907</v>
      </c>
      <c r="D95" t="str">
        <f t="shared" si="2"/>
        <v>(m.)</v>
      </c>
      <c r="E95" t="s">
        <v>908</v>
      </c>
      <c r="F95" t="s">
        <v>909</v>
      </c>
      <c r="G95" t="s">
        <v>911</v>
      </c>
    </row>
    <row r="96" spans="2:18">
      <c r="B96" t="s">
        <v>560</v>
      </c>
      <c r="C96" t="s">
        <v>561</v>
      </c>
      <c r="D96" t="str">
        <f t="shared" si="2"/>
        <v>(f.)</v>
      </c>
      <c r="E96" t="s">
        <v>73</v>
      </c>
    </row>
    <row r="97" spans="2:7">
      <c r="B97" s="3" t="s">
        <v>452</v>
      </c>
      <c r="C97" s="3" t="s">
        <v>453</v>
      </c>
      <c r="D97" t="str">
        <f t="shared" si="2"/>
        <v>(m.)</v>
      </c>
      <c r="E97" t="s">
        <v>73</v>
      </c>
      <c r="F97" s="3"/>
      <c r="G97" s="3"/>
    </row>
    <row r="98" spans="2:7">
      <c r="B98" s="3" t="s">
        <v>474</v>
      </c>
      <c r="C98" s="3" t="s">
        <v>475</v>
      </c>
      <c r="D98" t="str">
        <f t="shared" si="2"/>
        <v>(f.)</v>
      </c>
      <c r="E98" t="s">
        <v>73</v>
      </c>
      <c r="F98" s="3"/>
      <c r="G98" s="3"/>
    </row>
    <row r="99" spans="2:7">
      <c r="B99" s="3" t="s">
        <v>494</v>
      </c>
      <c r="C99" s="3" t="s">
        <v>495</v>
      </c>
      <c r="D99" t="str">
        <f t="shared" si="2"/>
        <v>(m.)</v>
      </c>
      <c r="E99" t="s">
        <v>73</v>
      </c>
      <c r="F99" s="3"/>
      <c r="G99" s="3"/>
    </row>
    <row r="100" spans="2:7">
      <c r="B100" t="s">
        <v>34</v>
      </c>
      <c r="C100" t="s">
        <v>35</v>
      </c>
      <c r="D100" t="str">
        <f t="shared" si="2"/>
        <v>(m.)</v>
      </c>
      <c r="E100" t="s">
        <v>36</v>
      </c>
      <c r="F100" t="s">
        <v>37</v>
      </c>
      <c r="G100" t="s">
        <v>38</v>
      </c>
    </row>
    <row r="101" spans="2:7">
      <c r="B101" t="s">
        <v>657</v>
      </c>
      <c r="C101" t="s">
        <v>658</v>
      </c>
      <c r="D101" t="str">
        <f t="shared" si="2"/>
        <v>(f.)</v>
      </c>
      <c r="E101" t="s">
        <v>73</v>
      </c>
    </row>
    <row r="102" spans="2:7">
      <c r="B102" s="3" t="s">
        <v>528</v>
      </c>
      <c r="C102" s="3" t="s">
        <v>529</v>
      </c>
      <c r="D102" t="str">
        <f t="shared" si="2"/>
        <v>(m.)</v>
      </c>
      <c r="E102" t="s">
        <v>73</v>
      </c>
      <c r="F102" s="3"/>
      <c r="G102" s="3"/>
    </row>
    <row r="103" spans="2:7">
      <c r="B103" s="3" t="s">
        <v>448</v>
      </c>
      <c r="C103" s="3" t="s">
        <v>449</v>
      </c>
      <c r="D103" t="str">
        <f t="shared" si="2"/>
        <v>(m.)</v>
      </c>
      <c r="E103" t="s">
        <v>73</v>
      </c>
      <c r="F103" s="3"/>
      <c r="G103" s="3"/>
    </row>
    <row r="104" spans="2:7">
      <c r="B104" t="s">
        <v>585</v>
      </c>
      <c r="C104" t="s">
        <v>586</v>
      </c>
      <c r="D104" t="str">
        <f t="shared" ref="D104:D135" si="3">IF(RIGHT(B104, 2) = "is", "(m.)", IF(RIGHT(B104, 1) = "a", "(f.)", "(m.)"))</f>
        <v>(m.)</v>
      </c>
      <c r="E104" t="s">
        <v>73</v>
      </c>
    </row>
    <row r="105" spans="2:7">
      <c r="B105" s="3" t="s">
        <v>571</v>
      </c>
      <c r="C105" s="3" t="s">
        <v>572</v>
      </c>
      <c r="D105" t="str">
        <f t="shared" si="3"/>
        <v>(m.)</v>
      </c>
      <c r="E105" t="s">
        <v>73</v>
      </c>
      <c r="F105" s="3"/>
      <c r="G105" s="3"/>
    </row>
    <row r="106" spans="2:7">
      <c r="B106" s="3" t="s">
        <v>524</v>
      </c>
      <c r="C106" s="3" t="s">
        <v>525</v>
      </c>
      <c r="D106" t="str">
        <f t="shared" si="3"/>
        <v>(m.)</v>
      </c>
      <c r="E106" t="s">
        <v>73</v>
      </c>
      <c r="F106" s="3"/>
      <c r="G106" s="3"/>
    </row>
    <row r="107" spans="2:7">
      <c r="B107" t="s">
        <v>424</v>
      </c>
      <c r="C107" t="s">
        <v>425</v>
      </c>
      <c r="D107" t="str">
        <f t="shared" si="3"/>
        <v>(m.)</v>
      </c>
      <c r="E107" t="s">
        <v>73</v>
      </c>
    </row>
    <row r="108" spans="2:7">
      <c r="B108" t="s">
        <v>81</v>
      </c>
      <c r="C108" t="s">
        <v>82</v>
      </c>
      <c r="D108" t="str">
        <f t="shared" si="3"/>
        <v>(m.)</v>
      </c>
      <c r="E108" t="s">
        <v>769</v>
      </c>
      <c r="F108" t="s">
        <v>770</v>
      </c>
      <c r="G108" t="s">
        <v>771</v>
      </c>
    </row>
    <row r="109" spans="2:7">
      <c r="B109" t="s">
        <v>242</v>
      </c>
      <c r="C109" t="s">
        <v>243</v>
      </c>
      <c r="D109" t="str">
        <f t="shared" si="3"/>
        <v>(m.)</v>
      </c>
      <c r="E109" t="s">
        <v>73</v>
      </c>
    </row>
    <row r="110" spans="2:7">
      <c r="B110" s="3" t="s">
        <v>627</v>
      </c>
      <c r="C110" s="3" t="s">
        <v>628</v>
      </c>
      <c r="D110" t="str">
        <f t="shared" si="3"/>
        <v>(m.)</v>
      </c>
      <c r="E110" t="s">
        <v>73</v>
      </c>
      <c r="F110" s="3"/>
      <c r="G110" s="3"/>
    </row>
    <row r="111" spans="2:7">
      <c r="B111" t="s">
        <v>490</v>
      </c>
      <c r="C111" t="s">
        <v>491</v>
      </c>
      <c r="D111" t="str">
        <f t="shared" si="3"/>
        <v>(m.)</v>
      </c>
      <c r="E111" t="s">
        <v>73</v>
      </c>
    </row>
    <row r="112" spans="2:7">
      <c r="B112" t="s">
        <v>1189</v>
      </c>
      <c r="C112" t="s">
        <v>1190</v>
      </c>
      <c r="D112" t="str">
        <f t="shared" si="3"/>
        <v>(m.)</v>
      </c>
      <c r="E112" t="s">
        <v>1191</v>
      </c>
      <c r="F112" t="s">
        <v>1192</v>
      </c>
    </row>
    <row r="113" spans="2:7">
      <c r="B113" s="3" t="s">
        <v>166</v>
      </c>
      <c r="C113" s="3" t="s">
        <v>167</v>
      </c>
      <c r="D113" t="str">
        <f t="shared" si="3"/>
        <v>(m.)</v>
      </c>
      <c r="E113" t="s">
        <v>73</v>
      </c>
      <c r="F113" s="3" t="s">
        <v>823</v>
      </c>
      <c r="G113" s="3" t="s">
        <v>824</v>
      </c>
    </row>
    <row r="114" spans="2:7">
      <c r="B114" t="s">
        <v>862</v>
      </c>
      <c r="C114" t="s">
        <v>866</v>
      </c>
      <c r="D114" t="str">
        <f t="shared" si="3"/>
        <v>(f.)</v>
      </c>
      <c r="E114" t="s">
        <v>865</v>
      </c>
      <c r="F114" t="s">
        <v>867</v>
      </c>
    </row>
    <row r="115" spans="2:7">
      <c r="B115" s="3" t="s">
        <v>573</v>
      </c>
      <c r="C115" s="3" t="s">
        <v>574</v>
      </c>
      <c r="D115" t="str">
        <f t="shared" si="3"/>
        <v>(m.)</v>
      </c>
      <c r="E115" t="s">
        <v>73</v>
      </c>
      <c r="F115" s="3"/>
      <c r="G115" s="3"/>
    </row>
    <row r="116" spans="2:7">
      <c r="B116" t="s">
        <v>440</v>
      </c>
      <c r="C116" t="s">
        <v>441</v>
      </c>
      <c r="D116" t="str">
        <f t="shared" si="3"/>
        <v>(f.)</v>
      </c>
      <c r="E116" t="s">
        <v>73</v>
      </c>
    </row>
    <row r="117" spans="2:7">
      <c r="B117" s="3" t="s">
        <v>550</v>
      </c>
      <c r="C117" s="3" t="s">
        <v>551</v>
      </c>
      <c r="D117" t="str">
        <f t="shared" si="3"/>
        <v>(m.)</v>
      </c>
      <c r="E117" t="s">
        <v>73</v>
      </c>
      <c r="F117" s="3"/>
      <c r="G117" s="3"/>
    </row>
    <row r="118" spans="2:7">
      <c r="B118" t="s">
        <v>450</v>
      </c>
      <c r="C118" t="s">
        <v>451</v>
      </c>
      <c r="D118" t="str">
        <f t="shared" si="3"/>
        <v>(f.)</v>
      </c>
      <c r="E118" t="s">
        <v>73</v>
      </c>
    </row>
    <row r="119" spans="2:7">
      <c r="B119" s="3" t="s">
        <v>456</v>
      </c>
      <c r="C119" s="3" t="s">
        <v>457</v>
      </c>
      <c r="D119" t="str">
        <f t="shared" si="3"/>
        <v>(m.)</v>
      </c>
      <c r="E119" t="s">
        <v>73</v>
      </c>
      <c r="F119" s="3"/>
      <c r="G119" s="3"/>
    </row>
    <row r="120" spans="2:7">
      <c r="B120" t="s">
        <v>1185</v>
      </c>
      <c r="C120" t="s">
        <v>1184</v>
      </c>
      <c r="D120" t="str">
        <f t="shared" si="3"/>
        <v>(f.)</v>
      </c>
      <c r="E120" t="s">
        <v>1186</v>
      </c>
      <c r="F120" t="s">
        <v>1187</v>
      </c>
      <c r="G120" t="s">
        <v>1188</v>
      </c>
    </row>
    <row r="121" spans="2:7">
      <c r="B121" s="3" t="s">
        <v>416</v>
      </c>
      <c r="C121" s="3" t="s">
        <v>417</v>
      </c>
      <c r="D121" t="str">
        <f t="shared" si="3"/>
        <v>(m.)</v>
      </c>
      <c r="E121" t="s">
        <v>73</v>
      </c>
      <c r="F121" s="3"/>
      <c r="G121" s="3"/>
    </row>
    <row r="122" spans="2:7">
      <c r="B122" t="s">
        <v>508</v>
      </c>
      <c r="C122" t="s">
        <v>509</v>
      </c>
      <c r="D122" t="str">
        <f t="shared" si="3"/>
        <v>(m.)</v>
      </c>
      <c r="E122" t="s">
        <v>73</v>
      </c>
    </row>
    <row r="123" spans="2:7">
      <c r="B123" s="3" t="s">
        <v>346</v>
      </c>
      <c r="C123" s="3" t="s">
        <v>347</v>
      </c>
      <c r="D123" t="str">
        <f t="shared" si="3"/>
        <v>(f.)</v>
      </c>
      <c r="E123" t="s">
        <v>73</v>
      </c>
      <c r="F123" s="3" t="s">
        <v>1179</v>
      </c>
      <c r="G123" s="3" t="s">
        <v>1180</v>
      </c>
    </row>
    <row r="124" spans="2:7">
      <c r="B124" t="s">
        <v>511</v>
      </c>
      <c r="C124" t="s">
        <v>512</v>
      </c>
      <c r="D124" t="str">
        <f t="shared" si="3"/>
        <v>(f.)</v>
      </c>
      <c r="E124" t="s">
        <v>73</v>
      </c>
    </row>
    <row r="125" spans="2:7">
      <c r="B125" t="s">
        <v>1168</v>
      </c>
      <c r="C125" t="s">
        <v>1167</v>
      </c>
      <c r="D125" t="str">
        <f t="shared" si="3"/>
        <v>(f.)</v>
      </c>
      <c r="E125" t="s">
        <v>1169</v>
      </c>
      <c r="F125" t="s">
        <v>1170</v>
      </c>
      <c r="G125" t="s">
        <v>1171</v>
      </c>
    </row>
    <row r="126" spans="2:7">
      <c r="B126" s="3" t="s">
        <v>406</v>
      </c>
      <c r="C126" s="3" t="s">
        <v>407</v>
      </c>
      <c r="D126" t="str">
        <f t="shared" si="3"/>
        <v>(m.)</v>
      </c>
      <c r="E126" t="s">
        <v>73</v>
      </c>
      <c r="F126" s="3"/>
      <c r="G126" s="3"/>
    </row>
    <row r="127" spans="2:7">
      <c r="B127" t="s">
        <v>478</v>
      </c>
      <c r="C127" t="s">
        <v>479</v>
      </c>
      <c r="D127" t="str">
        <f t="shared" si="3"/>
        <v>(m.)</v>
      </c>
      <c r="E127" t="s">
        <v>73</v>
      </c>
    </row>
    <row r="128" spans="2:7">
      <c r="B128" t="s">
        <v>212</v>
      </c>
      <c r="C128" t="s">
        <v>213</v>
      </c>
      <c r="D128" t="str">
        <f t="shared" si="3"/>
        <v>(m.)</v>
      </c>
      <c r="E128" t="s">
        <v>830</v>
      </c>
      <c r="F128" t="s">
        <v>831</v>
      </c>
      <c r="G128" t="s">
        <v>832</v>
      </c>
    </row>
    <row r="129" spans="2:7">
      <c r="B129" t="s">
        <v>570</v>
      </c>
      <c r="C129" t="s">
        <v>861</v>
      </c>
      <c r="D129" t="str">
        <f t="shared" si="3"/>
        <v>(m.)</v>
      </c>
      <c r="E129" t="s">
        <v>859</v>
      </c>
      <c r="F129" t="s">
        <v>860</v>
      </c>
    </row>
    <row r="130" spans="2:7">
      <c r="B130" s="3" t="s">
        <v>59</v>
      </c>
      <c r="C130" s="3" t="s">
        <v>60</v>
      </c>
      <c r="D130" t="str">
        <f t="shared" si="3"/>
        <v>(m.)</v>
      </c>
      <c r="E130" t="s">
        <v>61</v>
      </c>
      <c r="F130" s="3" t="s">
        <v>62</v>
      </c>
      <c r="G130" s="3" t="s">
        <v>772</v>
      </c>
    </row>
    <row r="131" spans="2:7">
      <c r="B131" s="3" t="s">
        <v>513</v>
      </c>
      <c r="C131" s="3" t="s">
        <v>514</v>
      </c>
      <c r="D131" t="str">
        <f t="shared" si="3"/>
        <v>(m.)</v>
      </c>
      <c r="E131" t="s">
        <v>73</v>
      </c>
      <c r="F131" s="3"/>
      <c r="G131" s="3"/>
    </row>
    <row r="132" spans="2:7">
      <c r="B132" s="3" t="s">
        <v>515</v>
      </c>
      <c r="C132" s="3" t="s">
        <v>516</v>
      </c>
      <c r="D132" t="str">
        <f t="shared" si="3"/>
        <v>(m.)</v>
      </c>
      <c r="E132" t="s">
        <v>73</v>
      </c>
      <c r="F132" s="3"/>
      <c r="G132" s="3"/>
    </row>
    <row r="133" spans="2:7">
      <c r="B133" s="3" t="s">
        <v>398</v>
      </c>
      <c r="C133" s="3" t="s">
        <v>399</v>
      </c>
      <c r="D133" t="str">
        <f t="shared" si="3"/>
        <v>(m.)</v>
      </c>
      <c r="E133" t="s">
        <v>73</v>
      </c>
      <c r="F133" s="3"/>
      <c r="G133" s="3"/>
    </row>
    <row r="134" spans="2:7">
      <c r="B134" s="3" t="s">
        <v>466</v>
      </c>
      <c r="C134" s="3" t="s">
        <v>467</v>
      </c>
      <c r="D134" t="str">
        <f t="shared" si="3"/>
        <v>(m.)</v>
      </c>
      <c r="E134" t="s">
        <v>73</v>
      </c>
      <c r="F134" s="3"/>
      <c r="G134" s="3"/>
    </row>
    <row r="135" spans="2:7">
      <c r="B135" t="s">
        <v>645</v>
      </c>
      <c r="C135" t="s">
        <v>646</v>
      </c>
      <c r="D135" t="str">
        <f t="shared" si="3"/>
        <v>(f.)</v>
      </c>
      <c r="E135" t="s">
        <v>73</v>
      </c>
    </row>
    <row r="136" spans="2:7">
      <c r="B136" s="3" t="s">
        <v>364</v>
      </c>
      <c r="C136" s="3" t="s">
        <v>365</v>
      </c>
      <c r="D136" t="str">
        <f t="shared" ref="D136:D148" si="4">IF(RIGHT(B136, 2) = "is", "(m.)", IF(RIGHT(B136, 1) = "a", "(f.)", "(m.)"))</f>
        <v>(m.)</v>
      </c>
      <c r="E136" t="s">
        <v>73</v>
      </c>
      <c r="F136" s="3"/>
      <c r="G136" s="3"/>
    </row>
    <row r="137" spans="2:7">
      <c r="B137" t="s">
        <v>556</v>
      </c>
      <c r="C137" t="s">
        <v>557</v>
      </c>
      <c r="D137" t="str">
        <f t="shared" si="4"/>
        <v>(f.)</v>
      </c>
      <c r="E137" t="s">
        <v>73</v>
      </c>
    </row>
    <row r="138" spans="2:7">
      <c r="B138" s="3" t="s">
        <v>292</v>
      </c>
      <c r="C138" s="3" t="s">
        <v>293</v>
      </c>
      <c r="D138" t="str">
        <f t="shared" si="4"/>
        <v>(m.)</v>
      </c>
      <c r="E138" t="s">
        <v>73</v>
      </c>
      <c r="F138" s="3"/>
      <c r="G138" s="3"/>
    </row>
    <row r="139" spans="2:7">
      <c r="B139" t="s">
        <v>192</v>
      </c>
      <c r="C139" t="s">
        <v>193</v>
      </c>
      <c r="D139" t="str">
        <f t="shared" si="4"/>
        <v>(m.)</v>
      </c>
      <c r="E139" t="s">
        <v>73</v>
      </c>
    </row>
    <row r="140" spans="2:7">
      <c r="B140" t="s">
        <v>311</v>
      </c>
      <c r="C140" s="3" t="s">
        <v>312</v>
      </c>
      <c r="D140" t="str">
        <f t="shared" si="4"/>
        <v>(f.)</v>
      </c>
      <c r="E140" t="s">
        <v>73</v>
      </c>
      <c r="F140" s="3"/>
      <c r="G140" s="3"/>
    </row>
    <row r="141" spans="2:7">
      <c r="B141" s="3" t="s">
        <v>470</v>
      </c>
      <c r="C141" s="3" t="s">
        <v>471</v>
      </c>
      <c r="D141" t="str">
        <f t="shared" si="4"/>
        <v>(m.)</v>
      </c>
      <c r="E141" t="s">
        <v>73</v>
      </c>
      <c r="F141" s="3" t="s">
        <v>813</v>
      </c>
      <c r="G141" s="3" t="s">
        <v>814</v>
      </c>
    </row>
    <row r="142" spans="2:7">
      <c r="B142" s="3" t="s">
        <v>432</v>
      </c>
      <c r="C142" s="3" t="s">
        <v>433</v>
      </c>
      <c r="D142" t="str">
        <f t="shared" si="4"/>
        <v>(m.)</v>
      </c>
      <c r="E142" t="s">
        <v>73</v>
      </c>
      <c r="F142" s="3"/>
      <c r="G142" s="3"/>
    </row>
    <row r="143" spans="2:7">
      <c r="B143" t="s">
        <v>651</v>
      </c>
      <c r="C143" t="s">
        <v>652</v>
      </c>
      <c r="D143" t="str">
        <f t="shared" si="4"/>
        <v>(m.)</v>
      </c>
      <c r="E143" t="s">
        <v>73</v>
      </c>
    </row>
    <row r="144" spans="2:7">
      <c r="B144" t="s">
        <v>517</v>
      </c>
      <c r="C144" t="s">
        <v>518</v>
      </c>
      <c r="D144" t="str">
        <f t="shared" si="4"/>
        <v>(f.)</v>
      </c>
      <c r="E144" t="s">
        <v>73</v>
      </c>
    </row>
    <row r="145" spans="2:7">
      <c r="B145" t="s">
        <v>1106</v>
      </c>
      <c r="C145" t="s">
        <v>1107</v>
      </c>
      <c r="D145" t="str">
        <f t="shared" si="4"/>
        <v>(m.)</v>
      </c>
      <c r="E145" t="s">
        <v>73</v>
      </c>
      <c r="F145" t="s">
        <v>1108</v>
      </c>
      <c r="G145" t="s">
        <v>1117</v>
      </c>
    </row>
    <row r="146" spans="2:7">
      <c r="B146" t="s">
        <v>964</v>
      </c>
      <c r="C146" t="s">
        <v>965</v>
      </c>
      <c r="D146" t="str">
        <f t="shared" si="4"/>
        <v>(m.)</v>
      </c>
      <c r="E146" t="s">
        <v>976</v>
      </c>
      <c r="F146" t="s">
        <v>977</v>
      </c>
    </row>
    <row r="147" spans="2:7">
      <c r="B147" s="3" t="s">
        <v>488</v>
      </c>
      <c r="C147" s="3" t="s">
        <v>489</v>
      </c>
      <c r="D147" t="str">
        <f t="shared" si="4"/>
        <v>(f.)</v>
      </c>
      <c r="E147" t="s">
        <v>73</v>
      </c>
      <c r="F147" s="3"/>
      <c r="G147" s="3"/>
    </row>
    <row r="148" spans="2:7">
      <c r="B148" t="s">
        <v>254</v>
      </c>
      <c r="C148" t="s">
        <v>255</v>
      </c>
      <c r="D148" t="str">
        <f t="shared" si="4"/>
        <v>(f.)</v>
      </c>
      <c r="E148" t="s">
        <v>73</v>
      </c>
    </row>
    <row r="149" spans="2:7">
      <c r="B149" t="s">
        <v>1135</v>
      </c>
      <c r="C149" t="s">
        <v>1134</v>
      </c>
      <c r="D149" t="str">
        <f>IF(RIGHT(C149, 2) = "is", "(m.)", IF(RIGHT(C149, 1) = "a", "(f.)", "(m.)"))</f>
        <v>(m.)</v>
      </c>
      <c r="E149" t="s">
        <v>1136</v>
      </c>
      <c r="F149" t="s">
        <v>1137</v>
      </c>
    </row>
    <row r="150" spans="2:7">
      <c r="B150" s="3" t="s">
        <v>484</v>
      </c>
      <c r="C150" s="3" t="s">
        <v>485</v>
      </c>
      <c r="D150" t="str">
        <f t="shared" ref="D150:D181" si="5">IF(RIGHT(B150, 2) = "is", "(m.)", IF(RIGHT(B150, 1) = "a", "(f.)", "(m.)"))</f>
        <v>(f.)</v>
      </c>
      <c r="E150" t="s">
        <v>73</v>
      </c>
      <c r="F150" s="3"/>
      <c r="G150" s="3"/>
    </row>
    <row r="151" spans="2:7">
      <c r="B151" t="s">
        <v>269</v>
      </c>
      <c r="C151" t="s">
        <v>270</v>
      </c>
      <c r="D151" t="str">
        <f t="shared" si="5"/>
        <v>(m.)</v>
      </c>
      <c r="E151" t="s">
        <v>73</v>
      </c>
    </row>
    <row r="152" spans="2:7">
      <c r="B152" t="s">
        <v>1127</v>
      </c>
      <c r="C152" t="s">
        <v>1128</v>
      </c>
      <c r="D152" t="str">
        <f t="shared" si="5"/>
        <v>(m.)</v>
      </c>
      <c r="E152" t="s">
        <v>73</v>
      </c>
      <c r="F152" t="s">
        <v>1129</v>
      </c>
      <c r="G152" t="s">
        <v>1133</v>
      </c>
    </row>
    <row r="153" spans="2:7">
      <c r="B153" t="s">
        <v>963</v>
      </c>
      <c r="C153" t="s">
        <v>960</v>
      </c>
      <c r="D153" t="str">
        <f t="shared" si="5"/>
        <v>(m.)</v>
      </c>
      <c r="E153" t="s">
        <v>962</v>
      </c>
      <c r="F153" t="s">
        <v>961</v>
      </c>
    </row>
    <row r="154" spans="2:7">
      <c r="B154" t="s">
        <v>671</v>
      </c>
      <c r="C154" t="s">
        <v>672</v>
      </c>
      <c r="D154" t="str">
        <f t="shared" si="5"/>
        <v>(f.)</v>
      </c>
      <c r="E154" t="s">
        <v>73</v>
      </c>
    </row>
    <row r="155" spans="2:7">
      <c r="B155" t="s">
        <v>605</v>
      </c>
      <c r="C155" t="s">
        <v>606</v>
      </c>
      <c r="D155" t="str">
        <f t="shared" si="5"/>
        <v>(m.)</v>
      </c>
      <c r="E155" t="s">
        <v>73</v>
      </c>
    </row>
    <row r="156" spans="2:7">
      <c r="B156" t="s">
        <v>285</v>
      </c>
      <c r="C156" t="s">
        <v>286</v>
      </c>
      <c r="D156" t="str">
        <f t="shared" si="5"/>
        <v>(m.)</v>
      </c>
      <c r="E156" t="s">
        <v>73</v>
      </c>
    </row>
    <row r="157" spans="2:7">
      <c r="B157" s="3" t="s">
        <v>504</v>
      </c>
      <c r="C157" s="3" t="s">
        <v>505</v>
      </c>
      <c r="D157" t="str">
        <f t="shared" si="5"/>
        <v>(m.)</v>
      </c>
      <c r="E157" t="s">
        <v>73</v>
      </c>
      <c r="F157" s="3"/>
      <c r="G157" s="3"/>
    </row>
    <row r="158" spans="2:7">
      <c r="B158" s="3" t="s">
        <v>130</v>
      </c>
      <c r="C158" s="3" t="s">
        <v>131</v>
      </c>
      <c r="D158" t="str">
        <f t="shared" si="5"/>
        <v>(m.)</v>
      </c>
      <c r="E158" t="s">
        <v>73</v>
      </c>
      <c r="F158" s="3"/>
      <c r="G158" s="3"/>
    </row>
    <row r="159" spans="2:7">
      <c r="B159" s="3" t="s">
        <v>521</v>
      </c>
      <c r="C159" s="3" t="s">
        <v>522</v>
      </c>
      <c r="D159" t="str">
        <f t="shared" si="5"/>
        <v>(f.)</v>
      </c>
      <c r="E159" t="s">
        <v>73</v>
      </c>
      <c r="F159" s="3" t="s">
        <v>1272</v>
      </c>
      <c r="G159" s="3" t="s">
        <v>1271</v>
      </c>
    </row>
    <row r="160" spans="2:7">
      <c r="B160" s="3" t="s">
        <v>472</v>
      </c>
      <c r="C160" s="3" t="s">
        <v>473</v>
      </c>
      <c r="D160" t="str">
        <f t="shared" si="5"/>
        <v>(f.)</v>
      </c>
      <c r="E160" t="s">
        <v>73</v>
      </c>
      <c r="F160" s="3"/>
      <c r="G160" s="3"/>
    </row>
    <row r="161" spans="2:7">
      <c r="B161" s="3" t="s">
        <v>669</v>
      </c>
      <c r="C161" s="3" t="s">
        <v>670</v>
      </c>
      <c r="D161" t="str">
        <f t="shared" si="5"/>
        <v>(m.)</v>
      </c>
      <c r="E161" t="s">
        <v>73</v>
      </c>
      <c r="F161" s="3" t="s">
        <v>1299</v>
      </c>
      <c r="G161" t="s">
        <v>1298</v>
      </c>
    </row>
    <row r="162" spans="2:7">
      <c r="B162" s="3" t="s">
        <v>665</v>
      </c>
      <c r="C162" s="3" t="s">
        <v>666</v>
      </c>
      <c r="D162" t="str">
        <f t="shared" si="5"/>
        <v>(f.)</v>
      </c>
      <c r="E162" t="s">
        <v>73</v>
      </c>
      <c r="F162" s="3"/>
      <c r="G162" s="3"/>
    </row>
    <row r="163" spans="2:7">
      <c r="B163" s="3" t="s">
        <v>566</v>
      </c>
      <c r="C163" s="3" t="s">
        <v>567</v>
      </c>
      <c r="D163" t="str">
        <f t="shared" si="5"/>
        <v>(f.)</v>
      </c>
      <c r="E163" t="s">
        <v>73</v>
      </c>
      <c r="F163" s="3"/>
      <c r="G163" s="3"/>
    </row>
    <row r="164" spans="2:7">
      <c r="B164" s="3" t="s">
        <v>519</v>
      </c>
      <c r="C164" s="3" t="s">
        <v>520</v>
      </c>
      <c r="D164" t="str">
        <f t="shared" si="5"/>
        <v>(f.)</v>
      </c>
      <c r="E164" t="s">
        <v>73</v>
      </c>
      <c r="F164" s="3"/>
      <c r="G164" s="3"/>
    </row>
    <row r="165" spans="2:7">
      <c r="B165" s="3" t="s">
        <v>655</v>
      </c>
      <c r="C165" s="3" t="s">
        <v>656</v>
      </c>
      <c r="D165" t="str">
        <f t="shared" si="5"/>
        <v>(m.)</v>
      </c>
      <c r="E165" t="s">
        <v>73</v>
      </c>
      <c r="F165" s="3"/>
      <c r="G165" s="3"/>
    </row>
    <row r="166" spans="2:7">
      <c r="B166" t="s">
        <v>1081</v>
      </c>
      <c r="C166" t="s">
        <v>1078</v>
      </c>
      <c r="D166" t="str">
        <f t="shared" si="5"/>
        <v>(f.)</v>
      </c>
      <c r="E166" t="s">
        <v>1082</v>
      </c>
      <c r="F166" t="s">
        <v>1083</v>
      </c>
    </row>
    <row r="167" spans="2:7">
      <c r="B167" t="s">
        <v>1084</v>
      </c>
      <c r="C167" t="s">
        <v>1085</v>
      </c>
      <c r="D167" t="str">
        <f t="shared" si="5"/>
        <v>(m.)</v>
      </c>
      <c r="E167" t="s">
        <v>1089</v>
      </c>
      <c r="F167" t="s">
        <v>1086</v>
      </c>
    </row>
    <row r="168" spans="2:7">
      <c r="B168" s="3" t="s">
        <v>659</v>
      </c>
      <c r="C168" s="3" t="s">
        <v>660</v>
      </c>
      <c r="D168" t="str">
        <f t="shared" si="5"/>
        <v>(m.)</v>
      </c>
      <c r="E168" t="s">
        <v>73</v>
      </c>
      <c r="F168" s="3"/>
      <c r="G168" s="3"/>
    </row>
    <row r="169" spans="2:7">
      <c r="B169" t="s">
        <v>649</v>
      </c>
      <c r="C169" t="s">
        <v>650</v>
      </c>
      <c r="D169" t="str">
        <f t="shared" si="5"/>
        <v>(m.)</v>
      </c>
      <c r="E169" t="s">
        <v>73</v>
      </c>
    </row>
    <row r="170" spans="2:7">
      <c r="B170" t="s">
        <v>972</v>
      </c>
      <c r="C170" t="s">
        <v>967</v>
      </c>
      <c r="D170" t="str">
        <f t="shared" si="5"/>
        <v>(m.)</v>
      </c>
      <c r="E170" t="s">
        <v>975</v>
      </c>
      <c r="F170" t="s">
        <v>974</v>
      </c>
    </row>
    <row r="171" spans="2:7">
      <c r="B171" t="s">
        <v>613</v>
      </c>
      <c r="C171" t="s">
        <v>614</v>
      </c>
      <c r="D171" t="str">
        <f t="shared" si="5"/>
        <v>(m.)</v>
      </c>
      <c r="E171" t="s">
        <v>73</v>
      </c>
    </row>
    <row r="172" spans="2:7">
      <c r="B172" t="s">
        <v>599</v>
      </c>
      <c r="C172" t="s">
        <v>600</v>
      </c>
      <c r="D172" t="str">
        <f t="shared" si="5"/>
        <v>(m.)</v>
      </c>
      <c r="E172" t="s">
        <v>73</v>
      </c>
    </row>
    <row r="173" spans="2:7">
      <c r="B173" s="3" t="s">
        <v>91</v>
      </c>
      <c r="C173" s="3" t="s">
        <v>92</v>
      </c>
      <c r="D173" t="str">
        <f t="shared" si="5"/>
        <v>(f.)</v>
      </c>
      <c r="E173" t="s">
        <v>773</v>
      </c>
      <c r="F173" s="3" t="s">
        <v>778</v>
      </c>
      <c r="G173" s="3" t="s">
        <v>779</v>
      </c>
    </row>
    <row r="174" spans="2:7">
      <c r="B174" s="3" t="s">
        <v>486</v>
      </c>
      <c r="C174" s="3" t="s">
        <v>487</v>
      </c>
      <c r="D174" t="str">
        <f t="shared" si="5"/>
        <v>(m.)</v>
      </c>
      <c r="E174" t="s">
        <v>73</v>
      </c>
      <c r="F174" s="3" t="s">
        <v>1172</v>
      </c>
      <c r="G174" s="3" t="s">
        <v>1171</v>
      </c>
    </row>
    <row r="175" spans="2:7">
      <c r="B175" s="3" t="s">
        <v>323</v>
      </c>
      <c r="C175" s="3" t="s">
        <v>324</v>
      </c>
      <c r="D175" t="str">
        <f t="shared" si="5"/>
        <v>(f.)</v>
      </c>
      <c r="E175" t="s">
        <v>73</v>
      </c>
      <c r="F175" s="3"/>
      <c r="G175" s="3"/>
    </row>
    <row r="176" spans="2:7">
      <c r="B176" t="s">
        <v>358</v>
      </c>
      <c r="C176" t="s">
        <v>359</v>
      </c>
      <c r="D176" t="str">
        <f t="shared" si="5"/>
        <v>(m.)</v>
      </c>
      <c r="E176" t="s">
        <v>73</v>
      </c>
    </row>
    <row r="177" spans="2:7">
      <c r="B177" s="3" t="s">
        <v>643</v>
      </c>
      <c r="C177" s="3" t="s">
        <v>644</v>
      </c>
      <c r="D177" t="str">
        <f t="shared" si="5"/>
        <v>(m.)</v>
      </c>
      <c r="E177" t="s">
        <v>73</v>
      </c>
      <c r="F177" s="3"/>
      <c r="G177" s="3"/>
    </row>
    <row r="178" spans="2:7">
      <c r="B178" t="s">
        <v>374</v>
      </c>
      <c r="C178" t="s">
        <v>375</v>
      </c>
      <c r="D178" t="str">
        <f t="shared" si="5"/>
        <v>(m.)</v>
      </c>
      <c r="E178" t="s">
        <v>73</v>
      </c>
    </row>
    <row r="179" spans="2:7">
      <c r="B179" s="3" t="s">
        <v>234</v>
      </c>
      <c r="C179" s="3" t="s">
        <v>235</v>
      </c>
      <c r="D179" t="str">
        <f t="shared" si="5"/>
        <v>(f.)</v>
      </c>
      <c r="E179" t="s">
        <v>73</v>
      </c>
      <c r="F179" s="3"/>
      <c r="G179" s="3"/>
    </row>
    <row r="180" spans="2:7">
      <c r="B180" t="s">
        <v>121</v>
      </c>
      <c r="C180" t="s">
        <v>122</v>
      </c>
      <c r="D180" t="str">
        <f t="shared" si="5"/>
        <v>(m.)</v>
      </c>
      <c r="E180" t="s">
        <v>73</v>
      </c>
    </row>
    <row r="181" spans="2:7">
      <c r="B181" s="3" t="s">
        <v>352</v>
      </c>
      <c r="C181" s="3" t="s">
        <v>353</v>
      </c>
      <c r="D181" t="str">
        <f t="shared" si="5"/>
        <v>(m.)</v>
      </c>
      <c r="E181" t="s">
        <v>73</v>
      </c>
      <c r="F181" s="3"/>
      <c r="G181" s="3"/>
    </row>
    <row r="182" spans="2:7">
      <c r="B182" s="3" t="s">
        <v>204</v>
      </c>
      <c r="C182" s="3" t="s">
        <v>205</v>
      </c>
      <c r="D182" t="str">
        <f t="shared" ref="D182:D199" si="6">IF(RIGHT(B182, 2) = "is", "(m.)", IF(RIGHT(B182, 1) = "a", "(f.)", "(m.)"))</f>
        <v>(m.)</v>
      </c>
      <c r="E182" t="s">
        <v>828</v>
      </c>
      <c r="F182" s="3" t="s">
        <v>829</v>
      </c>
      <c r="G182" s="3"/>
    </row>
    <row r="183" spans="2:7">
      <c r="B183" t="s">
        <v>833</v>
      </c>
      <c r="C183" t="s">
        <v>834</v>
      </c>
      <c r="D183" t="str">
        <f t="shared" si="6"/>
        <v>(f.)</v>
      </c>
      <c r="E183" t="s">
        <v>835</v>
      </c>
      <c r="F183" t="s">
        <v>839</v>
      </c>
    </row>
    <row r="184" spans="2:7">
      <c r="B184" s="3" t="s">
        <v>220</v>
      </c>
      <c r="C184" s="3" t="s">
        <v>221</v>
      </c>
      <c r="D184" t="str">
        <f t="shared" si="6"/>
        <v>(f.)</v>
      </c>
      <c r="E184" t="s">
        <v>73</v>
      </c>
      <c r="F184" s="3"/>
      <c r="G184" s="3"/>
    </row>
    <row r="185" spans="2:7">
      <c r="B185" t="s">
        <v>317</v>
      </c>
      <c r="C185" t="s">
        <v>318</v>
      </c>
      <c r="D185" t="str">
        <f t="shared" si="6"/>
        <v>(m.)</v>
      </c>
      <c r="E185" t="s">
        <v>73</v>
      </c>
    </row>
    <row r="186" spans="2:7">
      <c r="B186" t="s">
        <v>482</v>
      </c>
      <c r="C186" t="s">
        <v>483</v>
      </c>
      <c r="D186" t="str">
        <f t="shared" si="6"/>
        <v>(f.)</v>
      </c>
      <c r="E186" t="s">
        <v>73</v>
      </c>
    </row>
    <row r="187" spans="2:7">
      <c r="B187" t="s">
        <v>575</v>
      </c>
      <c r="C187" t="s">
        <v>576</v>
      </c>
      <c r="D187" t="str">
        <f t="shared" si="6"/>
        <v>(f.)</v>
      </c>
      <c r="E187" t="s">
        <v>1033</v>
      </c>
      <c r="F187" t="s">
        <v>1032</v>
      </c>
      <c r="G187" t="s">
        <v>1019</v>
      </c>
    </row>
    <row r="188" spans="2:7">
      <c r="B188" t="s">
        <v>446</v>
      </c>
      <c r="C188" t="s">
        <v>447</v>
      </c>
      <c r="D188" t="str">
        <f t="shared" si="6"/>
        <v>(m.)</v>
      </c>
      <c r="E188" t="s">
        <v>73</v>
      </c>
    </row>
    <row r="189" spans="2:7">
      <c r="B189" s="3" t="s">
        <v>667</v>
      </c>
      <c r="C189" s="3" t="s">
        <v>668</v>
      </c>
      <c r="D189" t="str">
        <f t="shared" si="6"/>
        <v>(f.)</v>
      </c>
      <c r="E189" t="s">
        <v>73</v>
      </c>
      <c r="F189" s="3"/>
      <c r="G189" s="3" t="s">
        <v>1126</v>
      </c>
    </row>
    <row r="190" spans="2:7">
      <c r="B190" t="s">
        <v>941</v>
      </c>
      <c r="C190" t="s">
        <v>940</v>
      </c>
      <c r="D190" t="str">
        <f t="shared" si="6"/>
        <v>(f.)</v>
      </c>
      <c r="E190" t="s">
        <v>942</v>
      </c>
      <c r="F190" t="s">
        <v>943</v>
      </c>
    </row>
    <row r="191" spans="2:7">
      <c r="B191" t="s">
        <v>623</v>
      </c>
      <c r="C191" t="s">
        <v>624</v>
      </c>
      <c r="D191" t="str">
        <f t="shared" si="6"/>
        <v>(m.)</v>
      </c>
      <c r="E191" t="s">
        <v>73</v>
      </c>
    </row>
    <row r="192" spans="2:7">
      <c r="B192" t="s">
        <v>546</v>
      </c>
      <c r="C192" t="s">
        <v>547</v>
      </c>
      <c r="D192" t="str">
        <f t="shared" si="6"/>
        <v>(m.)</v>
      </c>
      <c r="E192" t="s">
        <v>73</v>
      </c>
    </row>
    <row r="193" spans="2:7">
      <c r="B193" s="3" t="s">
        <v>587</v>
      </c>
      <c r="C193" s="3" t="s">
        <v>588</v>
      </c>
      <c r="D193" t="str">
        <f t="shared" si="6"/>
        <v>(m.)</v>
      </c>
      <c r="E193" t="s">
        <v>73</v>
      </c>
      <c r="F193" s="3"/>
      <c r="G193" s="3"/>
    </row>
    <row r="194" spans="2:7">
      <c r="B194" s="3" t="s">
        <v>329</v>
      </c>
      <c r="C194" s="3" t="s">
        <v>330</v>
      </c>
      <c r="D194" t="str">
        <f t="shared" si="6"/>
        <v>(m.)</v>
      </c>
      <c r="E194" t="s">
        <v>73</v>
      </c>
      <c r="F194" s="3" t="s">
        <v>817</v>
      </c>
      <c r="G194" s="3" t="s">
        <v>818</v>
      </c>
    </row>
    <row r="195" spans="2:7">
      <c r="B195" t="s">
        <v>1230</v>
      </c>
      <c r="C195" t="s">
        <v>1229</v>
      </c>
      <c r="D195" t="str">
        <f t="shared" si="6"/>
        <v>(f.)</v>
      </c>
      <c r="E195" t="s">
        <v>73</v>
      </c>
      <c r="F195" t="s">
        <v>1232</v>
      </c>
    </row>
    <row r="196" spans="2:7">
      <c r="B196" t="s">
        <v>434</v>
      </c>
      <c r="C196" t="s">
        <v>435</v>
      </c>
      <c r="D196" t="str">
        <f t="shared" si="6"/>
        <v>(m.)</v>
      </c>
      <c r="E196" t="s">
        <v>73</v>
      </c>
    </row>
    <row r="197" spans="2:7">
      <c r="B197" s="3" t="s">
        <v>378</v>
      </c>
      <c r="C197" s="3" t="s">
        <v>379</v>
      </c>
      <c r="D197" t="str">
        <f t="shared" si="6"/>
        <v>(m.)</v>
      </c>
      <c r="E197" t="s">
        <v>73</v>
      </c>
      <c r="F197" s="3"/>
      <c r="G197" s="3"/>
    </row>
    <row r="198" spans="2:7">
      <c r="B198" s="3" t="s">
        <v>460</v>
      </c>
      <c r="C198" s="3" t="s">
        <v>461</v>
      </c>
      <c r="D198" t="str">
        <f t="shared" si="6"/>
        <v>(m.)</v>
      </c>
      <c r="E198" t="s">
        <v>73</v>
      </c>
      <c r="F198" s="3"/>
      <c r="G198" s="3"/>
    </row>
    <row r="199" spans="2:7">
      <c r="B199" s="3" t="s">
        <v>464</v>
      </c>
      <c r="C199" s="3" t="s">
        <v>465</v>
      </c>
      <c r="D199" t="str">
        <f t="shared" si="6"/>
        <v>(m.)</v>
      </c>
      <c r="E199" t="s">
        <v>73</v>
      </c>
      <c r="F199" s="3"/>
      <c r="G199" s="3"/>
    </row>
    <row r="200" spans="2:7">
      <c r="B200" t="s">
        <v>932</v>
      </c>
      <c r="C200" t="s">
        <v>935</v>
      </c>
      <c r="D200" s="38" t="s">
        <v>931</v>
      </c>
      <c r="E200" t="s">
        <v>925</v>
      </c>
      <c r="F200" t="s">
        <v>926</v>
      </c>
      <c r="G200" t="s">
        <v>933</v>
      </c>
    </row>
    <row r="201" spans="2:7">
      <c r="B201" t="s">
        <v>1030</v>
      </c>
      <c r="C201" t="s">
        <v>1026</v>
      </c>
      <c r="D201" t="str">
        <f t="shared" ref="D201:D225" si="7">IF(RIGHT(B201, 2) = "is", "(m.)", IF(RIGHT(B201, 1) = "a", "(f.)", "(m.)"))</f>
        <v>(m.)</v>
      </c>
      <c r="E201" t="s">
        <v>1027</v>
      </c>
      <c r="F201" t="s">
        <v>1028</v>
      </c>
      <c r="G201" t="s">
        <v>1031</v>
      </c>
    </row>
    <row r="202" spans="2:7">
      <c r="B202" s="3" t="s">
        <v>538</v>
      </c>
      <c r="C202" s="3" t="s">
        <v>539</v>
      </c>
      <c r="D202" t="str">
        <f t="shared" si="7"/>
        <v>(m.)</v>
      </c>
      <c r="E202" t="s">
        <v>73</v>
      </c>
      <c r="F202" s="3"/>
      <c r="G202" s="3"/>
    </row>
    <row r="203" spans="2:7">
      <c r="B203" t="s">
        <v>611</v>
      </c>
      <c r="C203" t="s">
        <v>612</v>
      </c>
      <c r="D203" t="str">
        <f t="shared" si="7"/>
        <v>(m.)</v>
      </c>
      <c r="E203" t="s">
        <v>73</v>
      </c>
    </row>
    <row r="204" spans="2:7">
      <c r="B204" s="3" t="s">
        <v>568</v>
      </c>
      <c r="C204" s="3" t="s">
        <v>569</v>
      </c>
      <c r="D204" t="str">
        <f t="shared" si="7"/>
        <v>(f.)</v>
      </c>
      <c r="E204" t="s">
        <v>73</v>
      </c>
      <c r="F204" s="3"/>
      <c r="G204" s="3"/>
    </row>
    <row r="205" spans="2:7">
      <c r="B205" t="s">
        <v>661</v>
      </c>
      <c r="C205" t="s">
        <v>662</v>
      </c>
      <c r="D205" t="str">
        <f t="shared" si="7"/>
        <v>(f.)</v>
      </c>
      <c r="E205" t="s">
        <v>73</v>
      </c>
    </row>
    <row r="206" spans="2:7">
      <c r="B206" t="s">
        <v>615</v>
      </c>
      <c r="C206" t="s">
        <v>616</v>
      </c>
      <c r="D206" t="str">
        <f t="shared" si="7"/>
        <v>(m.)</v>
      </c>
      <c r="E206" t="s">
        <v>73</v>
      </c>
    </row>
    <row r="207" spans="2:7">
      <c r="B207" s="3" t="s">
        <v>386</v>
      </c>
      <c r="C207" s="3" t="s">
        <v>387</v>
      </c>
      <c r="D207" t="str">
        <f t="shared" si="7"/>
        <v>(m.)</v>
      </c>
      <c r="E207" t="s">
        <v>73</v>
      </c>
      <c r="F207" s="3" t="s">
        <v>952</v>
      </c>
      <c r="G207" s="3" t="s">
        <v>953</v>
      </c>
    </row>
    <row r="208" spans="2:7">
      <c r="B208" t="s">
        <v>583</v>
      </c>
      <c r="C208" t="s">
        <v>584</v>
      </c>
      <c r="D208" t="str">
        <f t="shared" si="7"/>
        <v>(f.)</v>
      </c>
      <c r="E208" t="s">
        <v>73</v>
      </c>
    </row>
    <row r="209" spans="2:7">
      <c r="B209" s="3" t="s">
        <v>530</v>
      </c>
      <c r="C209" s="3" t="s">
        <v>531</v>
      </c>
      <c r="D209" t="str">
        <f t="shared" si="7"/>
        <v>(m.)</v>
      </c>
      <c r="E209" t="s">
        <v>73</v>
      </c>
      <c r="F209" s="3"/>
      <c r="G209" s="3"/>
    </row>
    <row r="210" spans="2:7">
      <c r="B210" t="s">
        <v>848</v>
      </c>
      <c r="C210" t="s">
        <v>248</v>
      </c>
      <c r="D210" t="str">
        <f t="shared" si="7"/>
        <v>(m.)</v>
      </c>
      <c r="E210" t="s">
        <v>845</v>
      </c>
      <c r="F210" t="s">
        <v>844</v>
      </c>
      <c r="G210" t="s">
        <v>843</v>
      </c>
    </row>
    <row r="211" spans="2:7">
      <c r="B211" t="s">
        <v>496</v>
      </c>
      <c r="C211" t="s">
        <v>497</v>
      </c>
      <c r="D211" t="str">
        <f t="shared" si="7"/>
        <v>(m.)</v>
      </c>
      <c r="E211" t="s">
        <v>73</v>
      </c>
    </row>
    <row r="212" spans="2:7">
      <c r="B212" t="s">
        <v>990</v>
      </c>
      <c r="C212" t="s">
        <v>991</v>
      </c>
      <c r="D212" t="str">
        <f t="shared" si="7"/>
        <v>(m.)</v>
      </c>
      <c r="E212" t="s">
        <v>993</v>
      </c>
    </row>
    <row r="213" spans="2:7">
      <c r="B213" t="s">
        <v>633</v>
      </c>
      <c r="C213" t="s">
        <v>634</v>
      </c>
      <c r="D213" t="str">
        <f t="shared" si="7"/>
        <v>(m.)</v>
      </c>
      <c r="E213" t="s">
        <v>1120</v>
      </c>
      <c r="F213" t="s">
        <v>1119</v>
      </c>
      <c r="G213" t="s">
        <v>1118</v>
      </c>
    </row>
    <row r="214" spans="2:7">
      <c r="B214" t="s">
        <v>589</v>
      </c>
      <c r="C214" t="s">
        <v>590</v>
      </c>
      <c r="D214" t="str">
        <f t="shared" si="7"/>
        <v>(m.)</v>
      </c>
      <c r="E214" t="s">
        <v>73</v>
      </c>
    </row>
    <row r="215" spans="2:7">
      <c r="B215" t="s">
        <v>591</v>
      </c>
      <c r="C215" t="s">
        <v>592</v>
      </c>
      <c r="D215" t="str">
        <f t="shared" si="7"/>
        <v>(m.)</v>
      </c>
      <c r="E215" t="s">
        <v>73</v>
      </c>
    </row>
    <row r="216" spans="2:7">
      <c r="B216" t="s">
        <v>506</v>
      </c>
      <c r="C216" t="s">
        <v>507</v>
      </c>
      <c r="D216" t="str">
        <f t="shared" si="7"/>
        <v>(f.)</v>
      </c>
      <c r="E216" t="s">
        <v>73</v>
      </c>
    </row>
    <row r="217" spans="2:7">
      <c r="B217" t="s">
        <v>1276</v>
      </c>
      <c r="C217" t="s">
        <v>1277</v>
      </c>
      <c r="D217" t="str">
        <f t="shared" si="7"/>
        <v>(m.)</v>
      </c>
      <c r="E217" t="s">
        <v>1284</v>
      </c>
      <c r="F217" t="s">
        <v>1279</v>
      </c>
      <c r="G217" t="s">
        <v>1298</v>
      </c>
    </row>
    <row r="218" spans="2:7">
      <c r="B218" t="s">
        <v>891</v>
      </c>
      <c r="C218" t="s">
        <v>890</v>
      </c>
      <c r="D218" t="str">
        <f t="shared" si="7"/>
        <v>(m.)</v>
      </c>
      <c r="E218" t="s">
        <v>892</v>
      </c>
      <c r="F218" t="s">
        <v>893</v>
      </c>
      <c r="G218" t="s">
        <v>910</v>
      </c>
    </row>
    <row r="219" spans="2:7">
      <c r="B219" t="s">
        <v>889</v>
      </c>
      <c r="C219" t="s">
        <v>890</v>
      </c>
      <c r="D219" t="str">
        <f t="shared" si="7"/>
        <v>(m.)</v>
      </c>
      <c r="E219" t="s">
        <v>73</v>
      </c>
    </row>
    <row r="220" spans="2:7">
      <c r="B220" t="s">
        <v>480</v>
      </c>
      <c r="C220" t="s">
        <v>481</v>
      </c>
      <c r="D220" t="str">
        <f t="shared" si="7"/>
        <v>(f.)</v>
      </c>
      <c r="E220" t="s">
        <v>73</v>
      </c>
    </row>
    <row r="221" spans="2:7">
      <c r="B221" t="s">
        <v>625</v>
      </c>
      <c r="C221" t="s">
        <v>626</v>
      </c>
      <c r="D221" t="str">
        <f t="shared" si="7"/>
        <v>(m.)</v>
      </c>
      <c r="E221" t="s">
        <v>73</v>
      </c>
    </row>
    <row r="222" spans="2:7">
      <c r="B222" t="s">
        <v>442</v>
      </c>
      <c r="C222" t="s">
        <v>443</v>
      </c>
      <c r="D222" t="str">
        <f t="shared" si="7"/>
        <v>(m.)</v>
      </c>
      <c r="E222" t="s">
        <v>73</v>
      </c>
    </row>
    <row r="223" spans="2:7">
      <c r="B223" t="s">
        <v>454</v>
      </c>
      <c r="C223" t="s">
        <v>455</v>
      </c>
      <c r="D223" t="str">
        <f t="shared" si="7"/>
        <v>(m.)</v>
      </c>
      <c r="E223" t="s">
        <v>73</v>
      </c>
    </row>
    <row r="224" spans="2:7">
      <c r="B224" t="s">
        <v>609</v>
      </c>
      <c r="C224" t="s">
        <v>610</v>
      </c>
      <c r="D224" t="str">
        <f t="shared" si="7"/>
        <v>(m.)</v>
      </c>
      <c r="E224" t="s">
        <v>73</v>
      </c>
    </row>
    <row r="225" spans="2:7">
      <c r="B225" s="3" t="s">
        <v>458</v>
      </c>
      <c r="C225" s="3" t="s">
        <v>459</v>
      </c>
      <c r="D225" t="str">
        <f t="shared" si="7"/>
        <v>(f.)</v>
      </c>
      <c r="E225" t="s">
        <v>73</v>
      </c>
      <c r="F225" s="3"/>
      <c r="G225" s="3"/>
    </row>
    <row r="226" spans="2:7">
      <c r="B226" t="s">
        <v>1247</v>
      </c>
      <c r="C226" t="s">
        <v>1246</v>
      </c>
      <c r="D226" t="str">
        <f>IF(RIGHT(C226, 2) = "is", "(m.)", IF(RIGHT(C226, 1) = "a", "(f.)", "(m.)"))</f>
        <v>(m.)</v>
      </c>
      <c r="E226" t="s">
        <v>1248</v>
      </c>
      <c r="F226" t="s">
        <v>1249</v>
      </c>
      <c r="G226">
        <v>1</v>
      </c>
    </row>
    <row r="227" spans="2:7">
      <c r="B227" t="s">
        <v>621</v>
      </c>
      <c r="C227" t="s">
        <v>622</v>
      </c>
      <c r="D227" t="str">
        <f t="shared" ref="D227:D259" si="8">IF(RIGHT(B227, 2) = "is", "(m.)", IF(RIGHT(B227, 1) = "a", "(f.)", "(m.)"))</f>
        <v>(m.)</v>
      </c>
      <c r="E227" t="s">
        <v>73</v>
      </c>
    </row>
    <row r="228" spans="2:7">
      <c r="B228" s="3" t="s">
        <v>534</v>
      </c>
      <c r="C228" s="3" t="s">
        <v>535</v>
      </c>
      <c r="D228" t="str">
        <f t="shared" si="8"/>
        <v>(m.)</v>
      </c>
      <c r="E228" t="s">
        <v>73</v>
      </c>
      <c r="F228" s="3"/>
      <c r="G228" s="3"/>
    </row>
    <row r="229" spans="2:7">
      <c r="B229" t="s">
        <v>548</v>
      </c>
      <c r="C229" t="s">
        <v>549</v>
      </c>
      <c r="D229" t="str">
        <f t="shared" si="8"/>
        <v>(m.)</v>
      </c>
      <c r="E229" t="s">
        <v>73</v>
      </c>
    </row>
    <row r="230" spans="2:7">
      <c r="B230" t="s">
        <v>1022</v>
      </c>
      <c r="C230" t="s">
        <v>1023</v>
      </c>
      <c r="D230" t="str">
        <f t="shared" si="8"/>
        <v>(m.)</v>
      </c>
      <c r="E230" t="s">
        <v>1024</v>
      </c>
      <c r="F230" t="s">
        <v>1025</v>
      </c>
      <c r="G230" t="s">
        <v>1029</v>
      </c>
    </row>
    <row r="231" spans="2:7">
      <c r="B231" t="s">
        <v>334</v>
      </c>
      <c r="C231" t="s">
        <v>335</v>
      </c>
      <c r="D231" t="str">
        <f t="shared" si="8"/>
        <v>(m.)</v>
      </c>
      <c r="E231" t="s">
        <v>73</v>
      </c>
    </row>
    <row r="232" spans="2:7">
      <c r="B232" s="3" t="s">
        <v>663</v>
      </c>
      <c r="C232" s="3" t="s">
        <v>664</v>
      </c>
      <c r="D232" t="str">
        <f t="shared" si="8"/>
        <v>(f.)</v>
      </c>
      <c r="E232" t="s">
        <v>73</v>
      </c>
      <c r="F232" s="3"/>
      <c r="G232" s="3"/>
    </row>
    <row r="233" spans="2:7">
      <c r="B233" s="3" t="s">
        <v>196</v>
      </c>
      <c r="C233" s="3" t="s">
        <v>197</v>
      </c>
      <c r="D233" t="str">
        <f t="shared" si="8"/>
        <v>(f.)</v>
      </c>
      <c r="E233" t="s">
        <v>73</v>
      </c>
      <c r="F233" s="3"/>
      <c r="G233" s="3"/>
    </row>
    <row r="234" spans="2:7">
      <c r="B234" t="s">
        <v>150</v>
      </c>
      <c r="C234" t="s">
        <v>151</v>
      </c>
      <c r="D234" t="str">
        <f t="shared" si="8"/>
        <v>(f.)</v>
      </c>
      <c r="E234" t="s">
        <v>73</v>
      </c>
    </row>
    <row r="235" spans="2:7">
      <c r="B235" s="3" t="s">
        <v>554</v>
      </c>
      <c r="C235" s="3" t="s">
        <v>555</v>
      </c>
      <c r="D235" t="str">
        <f t="shared" si="8"/>
        <v>(m.)</v>
      </c>
      <c r="E235" t="s">
        <v>73</v>
      </c>
      <c r="F235" s="3"/>
      <c r="G235" s="3"/>
    </row>
    <row r="236" spans="2:7">
      <c r="B236" t="s">
        <v>1199</v>
      </c>
      <c r="C236" t="s">
        <v>1198</v>
      </c>
      <c r="D236" t="str">
        <f t="shared" si="8"/>
        <v>(m.)</v>
      </c>
      <c r="E236" t="s">
        <v>1200</v>
      </c>
      <c r="F236" t="s">
        <v>1201</v>
      </c>
    </row>
    <row r="237" spans="2:7">
      <c r="B237" t="s">
        <v>300</v>
      </c>
      <c r="C237" t="s">
        <v>301</v>
      </c>
      <c r="D237" t="str">
        <f t="shared" si="8"/>
        <v>(m.)</v>
      </c>
      <c r="E237" t="s">
        <v>73</v>
      </c>
    </row>
    <row r="238" spans="2:7">
      <c r="B238" t="s">
        <v>181</v>
      </c>
      <c r="C238" t="s">
        <v>182</v>
      </c>
      <c r="D238" t="str">
        <f t="shared" si="8"/>
        <v>(f.)</v>
      </c>
      <c r="E238" t="s">
        <v>73</v>
      </c>
    </row>
    <row r="239" spans="2:7">
      <c r="B239" t="s">
        <v>189</v>
      </c>
      <c r="C239" t="s">
        <v>190</v>
      </c>
      <c r="D239" t="str">
        <f t="shared" si="8"/>
        <v>(m.)</v>
      </c>
      <c r="E239" t="s">
        <v>825</v>
      </c>
      <c r="F239" t="s">
        <v>827</v>
      </c>
      <c r="G239" t="s">
        <v>826</v>
      </c>
    </row>
    <row r="240" spans="2:7">
      <c r="B240" t="s">
        <v>870</v>
      </c>
      <c r="C240" t="s">
        <v>868</v>
      </c>
      <c r="D240" t="str">
        <f t="shared" si="8"/>
        <v>(f.)</v>
      </c>
      <c r="E240" t="s">
        <v>871</v>
      </c>
      <c r="F240" t="s">
        <v>872</v>
      </c>
      <c r="G240" t="s">
        <v>1316</v>
      </c>
    </row>
    <row r="241" spans="2:7">
      <c r="B241" t="s">
        <v>558</v>
      </c>
      <c r="C241" t="s">
        <v>559</v>
      </c>
      <c r="D241" t="str">
        <f t="shared" si="8"/>
        <v>(f.)</v>
      </c>
      <c r="E241" t="s">
        <v>73</v>
      </c>
    </row>
    <row r="242" spans="2:7">
      <c r="B242" t="s">
        <v>1278</v>
      </c>
      <c r="C242" t="s">
        <v>1282</v>
      </c>
      <c r="D242" t="str">
        <f t="shared" si="8"/>
        <v>(f.)</v>
      </c>
      <c r="E242" t="s">
        <v>1280</v>
      </c>
      <c r="F242" t="s">
        <v>1283</v>
      </c>
    </row>
    <row r="243" spans="2:7">
      <c r="B243" t="s">
        <v>1285</v>
      </c>
      <c r="C243" t="s">
        <v>1288</v>
      </c>
      <c r="D243" t="str">
        <f t="shared" si="8"/>
        <v>(m.)</v>
      </c>
      <c r="E243" t="s">
        <v>1286</v>
      </c>
      <c r="F243" t="s">
        <v>1287</v>
      </c>
    </row>
    <row r="244" spans="2:7">
      <c r="B244" t="s">
        <v>1303</v>
      </c>
      <c r="C244" t="s">
        <v>1302</v>
      </c>
      <c r="D244" t="str">
        <f t="shared" si="8"/>
        <v>(f.)</v>
      </c>
      <c r="E244" t="s">
        <v>1305</v>
      </c>
      <c r="F244" t="s">
        <v>1304</v>
      </c>
    </row>
    <row r="245" spans="2:7">
      <c r="B245" t="s">
        <v>1306</v>
      </c>
      <c r="C245" t="s">
        <v>1307</v>
      </c>
      <c r="D245" t="str">
        <f t="shared" si="8"/>
        <v>(m.)</v>
      </c>
      <c r="E245" t="s">
        <v>1309</v>
      </c>
      <c r="F245" t="s">
        <v>1308</v>
      </c>
    </row>
    <row r="246" spans="2:7">
      <c r="B246" t="s">
        <v>1314</v>
      </c>
      <c r="C246" t="s">
        <v>1312</v>
      </c>
      <c r="D246" t="str">
        <f t="shared" si="8"/>
        <v>(f.)</v>
      </c>
      <c r="E246" t="s">
        <v>1315</v>
      </c>
      <c r="F246" t="s">
        <v>1313</v>
      </c>
      <c r="G246" t="s">
        <v>1316</v>
      </c>
    </row>
    <row r="247" spans="2:7">
      <c r="D247" t="str">
        <f t="shared" si="8"/>
        <v>(m.)</v>
      </c>
      <c r="E247" t="s">
        <v>73</v>
      </c>
    </row>
    <row r="248" spans="2:7">
      <c r="D248" t="str">
        <f t="shared" si="8"/>
        <v>(m.)</v>
      </c>
      <c r="E248" t="s">
        <v>73</v>
      </c>
    </row>
    <row r="249" spans="2:7">
      <c r="D249" t="str">
        <f t="shared" si="8"/>
        <v>(m.)</v>
      </c>
    </row>
    <row r="250" spans="2:7">
      <c r="D250" t="str">
        <f t="shared" si="8"/>
        <v>(m.)</v>
      </c>
    </row>
    <row r="251" spans="2:7">
      <c r="D251" t="str">
        <f t="shared" si="8"/>
        <v>(m.)</v>
      </c>
    </row>
    <row r="252" spans="2:7">
      <c r="D252" t="str">
        <f t="shared" si="8"/>
        <v>(m.)</v>
      </c>
    </row>
    <row r="253" spans="2:7">
      <c r="D253" t="str">
        <f t="shared" si="8"/>
        <v>(m.)</v>
      </c>
    </row>
    <row r="254" spans="2:7">
      <c r="D254" t="str">
        <f t="shared" si="8"/>
        <v>(m.)</v>
      </c>
    </row>
    <row r="255" spans="2:7">
      <c r="D255" t="str">
        <f t="shared" si="8"/>
        <v>(m.)</v>
      </c>
    </row>
    <row r="256" spans="2:7">
      <c r="D256" t="str">
        <f t="shared" si="8"/>
        <v>(m.)</v>
      </c>
    </row>
    <row r="257" spans="4:4">
      <c r="D257" t="str">
        <f t="shared" si="8"/>
        <v>(m.)</v>
      </c>
    </row>
    <row r="258" spans="4:4">
      <c r="D258" t="str">
        <f t="shared" si="8"/>
        <v>(m.)</v>
      </c>
    </row>
    <row r="259" spans="4:4">
      <c r="D259" t="str">
        <f t="shared" si="8"/>
        <v>(m.)</v>
      </c>
    </row>
  </sheetData>
  <phoneticPr fontId="6" type="noConversion"/>
  <dataValidations count="1">
    <dataValidation type="list" allowBlank="1" showInputMessage="1" showErrorMessage="1" sqref="I8:I79 I81:I86" xr:uid="{ADF66E77-D778-4035-BDD4-EBC2C06FFC05}">
      <formula1>$AD$9:$AD$13</formula1>
    </dataValidation>
  </dataValidations>
  <pageMargins left="0.7" right="0.7" top="0.75" bottom="0.75" header="0.3" footer="0.3"/>
  <pageSetup paperSize="9" orientation="portrait"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FBF38-8DB8-420E-A480-500FDAE4D1F3}">
  <dimension ref="H4:L43"/>
  <sheetViews>
    <sheetView tabSelected="1" workbookViewId="0">
      <selection activeCell="F12" sqref="F12"/>
    </sheetView>
  </sheetViews>
  <sheetFormatPr defaultRowHeight="15"/>
  <cols>
    <col min="8" max="8" width="45.140625" customWidth="1"/>
    <col min="10" max="10" width="45.85546875" customWidth="1"/>
    <col min="12" max="12" width="48.28515625" customWidth="1"/>
  </cols>
  <sheetData>
    <row r="4" spans="8:12" ht="15.75">
      <c r="H4" s="50" t="s">
        <v>1347</v>
      </c>
      <c r="J4" s="50" t="s">
        <v>1322</v>
      </c>
      <c r="L4" s="50" t="s">
        <v>1363</v>
      </c>
    </row>
    <row r="5" spans="8:12" ht="15.75">
      <c r="H5" s="50"/>
      <c r="J5" s="50"/>
    </row>
    <row r="6" spans="8:12" ht="15.75">
      <c r="H6" s="50" t="s">
        <v>1348</v>
      </c>
      <c r="J6" s="50" t="s">
        <v>1323</v>
      </c>
      <c r="L6" s="50" t="s">
        <v>1364</v>
      </c>
    </row>
    <row r="7" spans="8:12" ht="15.75">
      <c r="H7" s="50"/>
      <c r="J7" s="50"/>
      <c r="L7" s="50"/>
    </row>
    <row r="8" spans="8:12" ht="15.75">
      <c r="H8" s="50" t="s">
        <v>1349</v>
      </c>
      <c r="J8" s="50" t="s">
        <v>1324</v>
      </c>
      <c r="L8" s="50" t="s">
        <v>1365</v>
      </c>
    </row>
    <row r="9" spans="8:12" ht="15.75">
      <c r="H9" s="50"/>
      <c r="J9" s="50"/>
      <c r="L9" s="50"/>
    </row>
    <row r="10" spans="8:12" ht="15.75">
      <c r="H10" s="50" t="s">
        <v>1350</v>
      </c>
      <c r="J10" s="50" t="s">
        <v>1325</v>
      </c>
      <c r="L10" s="50" t="s">
        <v>1366</v>
      </c>
    </row>
    <row r="11" spans="8:12" ht="15.75">
      <c r="H11" s="50"/>
      <c r="J11" s="50"/>
    </row>
    <row r="12" spans="8:12" ht="15.75">
      <c r="H12" s="50" t="s">
        <v>1351</v>
      </c>
      <c r="J12" s="50" t="s">
        <v>1326</v>
      </c>
      <c r="L12" s="50" t="s">
        <v>1367</v>
      </c>
    </row>
    <row r="13" spans="8:12" ht="15.75">
      <c r="H13" s="50"/>
      <c r="J13" s="50"/>
      <c r="L13" s="50"/>
    </row>
    <row r="14" spans="8:12" ht="15.75">
      <c r="H14" s="50" t="s">
        <v>1352</v>
      </c>
      <c r="J14" s="50" t="s">
        <v>1327</v>
      </c>
      <c r="L14" s="50" t="s">
        <v>1368</v>
      </c>
    </row>
    <row r="15" spans="8:12" ht="15.75">
      <c r="H15" s="50"/>
      <c r="J15" s="50"/>
      <c r="L15" s="50"/>
    </row>
    <row r="16" spans="8:12" ht="15.75">
      <c r="H16" s="50" t="s">
        <v>1353</v>
      </c>
      <c r="J16" s="50" t="s">
        <v>1328</v>
      </c>
      <c r="L16" s="50" t="s">
        <v>1369</v>
      </c>
    </row>
    <row r="17" spans="8:12" ht="15.75">
      <c r="H17" s="50"/>
      <c r="J17" s="50"/>
      <c r="L17" s="50"/>
    </row>
    <row r="18" spans="8:12" ht="15.75">
      <c r="H18" s="50" t="s">
        <v>1354</v>
      </c>
      <c r="J18" s="50" t="s">
        <v>1329</v>
      </c>
      <c r="L18" s="50" t="s">
        <v>1370</v>
      </c>
    </row>
    <row r="19" spans="8:12" ht="15.75">
      <c r="H19" s="50"/>
      <c r="J19" s="50"/>
      <c r="L19" s="50"/>
    </row>
    <row r="20" spans="8:12" ht="15.75">
      <c r="H20" s="50" t="s">
        <v>1355</v>
      </c>
      <c r="J20" s="50" t="s">
        <v>1330</v>
      </c>
      <c r="L20" s="50" t="s">
        <v>1371</v>
      </c>
    </row>
    <row r="21" spans="8:12" ht="15.75">
      <c r="H21" s="50"/>
      <c r="J21" s="50"/>
      <c r="L21" s="50"/>
    </row>
    <row r="22" spans="8:12" ht="15.75">
      <c r="H22" s="50" t="s">
        <v>1356</v>
      </c>
      <c r="J22" s="50" t="s">
        <v>1331</v>
      </c>
      <c r="L22" s="50" t="s">
        <v>1372</v>
      </c>
    </row>
    <row r="23" spans="8:12" ht="15.75">
      <c r="H23" s="50"/>
      <c r="J23" s="50"/>
      <c r="L23" s="50"/>
    </row>
    <row r="24" spans="8:12" ht="15.75">
      <c r="H24" s="50" t="s">
        <v>1357</v>
      </c>
      <c r="J24" s="50" t="s">
        <v>1332</v>
      </c>
      <c r="L24" s="50" t="s">
        <v>1373</v>
      </c>
    </row>
    <row r="25" spans="8:12" ht="15.75">
      <c r="H25" s="50"/>
      <c r="J25" s="50"/>
    </row>
    <row r="26" spans="8:12" ht="15.75">
      <c r="H26" s="50" t="s">
        <v>1358</v>
      </c>
      <c r="J26" s="50" t="s">
        <v>1333</v>
      </c>
      <c r="L26" s="50" t="s">
        <v>1374</v>
      </c>
    </row>
    <row r="27" spans="8:12" ht="15.75">
      <c r="H27" s="50"/>
      <c r="J27" s="50"/>
      <c r="L27" s="50"/>
    </row>
    <row r="28" spans="8:12" ht="15.75">
      <c r="H28" s="50" t="s">
        <v>1359</v>
      </c>
      <c r="J28" s="50" t="s">
        <v>1334</v>
      </c>
      <c r="L28" s="50" t="s">
        <v>1375</v>
      </c>
    </row>
    <row r="29" spans="8:12" ht="15.75">
      <c r="H29" s="50"/>
      <c r="J29" s="50"/>
    </row>
    <row r="30" spans="8:12" ht="15.75">
      <c r="H30" s="50" t="s">
        <v>1360</v>
      </c>
      <c r="J30" s="50" t="s">
        <v>1335</v>
      </c>
      <c r="L30" s="50" t="s">
        <v>1376</v>
      </c>
    </row>
    <row r="31" spans="8:12" ht="15.75">
      <c r="H31" s="50"/>
      <c r="J31" s="50"/>
      <c r="L31" s="50"/>
    </row>
    <row r="32" spans="8:12" ht="15.75">
      <c r="H32" s="50" t="s">
        <v>1361</v>
      </c>
      <c r="J32" s="50" t="s">
        <v>1336</v>
      </c>
      <c r="L32" s="50" t="s">
        <v>1377</v>
      </c>
    </row>
    <row r="33" spans="8:12" ht="15.75">
      <c r="H33" s="50"/>
      <c r="J33" s="50"/>
    </row>
    <row r="34" spans="8:12" ht="15.75">
      <c r="H34" s="50" t="s">
        <v>1362</v>
      </c>
      <c r="J34" s="50" t="s">
        <v>1337</v>
      </c>
      <c r="L34" s="50" t="s">
        <v>1378</v>
      </c>
    </row>
    <row r="35" spans="8:12">
      <c r="J35" s="51" t="s">
        <v>1338</v>
      </c>
      <c r="L35" s="51" t="s">
        <v>1379</v>
      </c>
    </row>
    <row r="36" spans="8:12">
      <c r="J36" s="51" t="s">
        <v>1339</v>
      </c>
    </row>
    <row r="37" spans="8:12">
      <c r="J37" s="51" t="s">
        <v>1340</v>
      </c>
    </row>
    <row r="38" spans="8:12">
      <c r="J38" s="51" t="s">
        <v>1341</v>
      </c>
    </row>
    <row r="39" spans="8:12">
      <c r="J39" s="51" t="s">
        <v>1342</v>
      </c>
    </row>
    <row r="40" spans="8:12">
      <c r="J40" s="51" t="s">
        <v>1343</v>
      </c>
    </row>
    <row r="41" spans="8:12">
      <c r="J41" s="51" t="s">
        <v>1344</v>
      </c>
    </row>
    <row r="42" spans="8:12">
      <c r="J42" s="51" t="s">
        <v>1345</v>
      </c>
    </row>
    <row r="43" spans="8:12">
      <c r="J43" s="51" t="s">
        <v>1346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95D7C-8936-4265-9E02-B11B2F5D4D7C}">
  <sheetPr codeName="Sheet3"/>
  <dimension ref="D7:I57"/>
  <sheetViews>
    <sheetView workbookViewId="0">
      <selection activeCell="E21" sqref="E21"/>
    </sheetView>
  </sheetViews>
  <sheetFormatPr defaultRowHeight="15"/>
  <cols>
    <col min="5" max="5" width="16.7109375" customWidth="1"/>
    <col min="7" max="7" width="16.140625" customWidth="1"/>
    <col min="8" max="8" width="10.140625" bestFit="1" customWidth="1"/>
    <col min="9" max="9" width="21.5703125" customWidth="1"/>
  </cols>
  <sheetData>
    <row r="7" spans="4:9">
      <c r="D7" t="s">
        <v>756</v>
      </c>
    </row>
    <row r="9" spans="4:9">
      <c r="D9" t="s">
        <v>757</v>
      </c>
      <c r="E9" t="s">
        <v>758</v>
      </c>
      <c r="F9" t="s">
        <v>759</v>
      </c>
      <c r="G9" t="s">
        <v>760</v>
      </c>
      <c r="H9" t="s">
        <v>761</v>
      </c>
      <c r="I9" t="s">
        <v>762</v>
      </c>
    </row>
    <row r="10" spans="4:9" ht="21">
      <c r="D10" s="9" t="s">
        <v>787</v>
      </c>
      <c r="E10" t="s">
        <v>788</v>
      </c>
      <c r="F10" s="9" t="s">
        <v>789</v>
      </c>
      <c r="G10" t="s">
        <v>790</v>
      </c>
      <c r="H10" s="9" t="s">
        <v>763</v>
      </c>
      <c r="I10" t="s">
        <v>764</v>
      </c>
    </row>
    <row r="11" spans="4:9" ht="21">
      <c r="D11" s="9" t="s">
        <v>846</v>
      </c>
      <c r="E11" t="s">
        <v>847</v>
      </c>
      <c r="F11" s="9" t="s">
        <v>766</v>
      </c>
      <c r="G11" t="s">
        <v>767</v>
      </c>
      <c r="H11" s="42" t="s">
        <v>1087</v>
      </c>
      <c r="I11" t="s">
        <v>1088</v>
      </c>
    </row>
    <row r="12" spans="4:9" ht="21">
      <c r="D12" s="9" t="s">
        <v>852</v>
      </c>
      <c r="E12" t="s">
        <v>850</v>
      </c>
      <c r="F12" s="9" t="s">
        <v>774</v>
      </c>
      <c r="G12" t="s">
        <v>775</v>
      </c>
      <c r="H12" s="9"/>
    </row>
    <row r="13" spans="4:9" ht="21">
      <c r="D13" s="9" t="s">
        <v>851</v>
      </c>
      <c r="E13" t="s">
        <v>853</v>
      </c>
      <c r="F13" s="9" t="s">
        <v>776</v>
      </c>
      <c r="G13" t="s">
        <v>777</v>
      </c>
      <c r="H13" s="9"/>
    </row>
    <row r="14" spans="4:9" ht="21">
      <c r="D14" s="9" t="s">
        <v>881</v>
      </c>
      <c r="E14" t="s">
        <v>882</v>
      </c>
      <c r="F14" s="9" t="s">
        <v>863</v>
      </c>
      <c r="G14" t="s">
        <v>864</v>
      </c>
      <c r="H14" s="9"/>
    </row>
    <row r="15" spans="4:9" ht="21">
      <c r="D15" s="9" t="s">
        <v>888</v>
      </c>
      <c r="E15" t="s">
        <v>887</v>
      </c>
      <c r="F15" s="9" t="s">
        <v>879</v>
      </c>
      <c r="G15" t="s">
        <v>880</v>
      </c>
      <c r="H15" s="9"/>
    </row>
    <row r="16" spans="4:9" ht="21">
      <c r="D16" s="9" t="s">
        <v>970</v>
      </c>
      <c r="E16" t="s">
        <v>971</v>
      </c>
      <c r="F16" s="9" t="s">
        <v>968</v>
      </c>
      <c r="G16" t="s">
        <v>969</v>
      </c>
      <c r="H16" s="9"/>
    </row>
    <row r="17" spans="4:8" ht="21">
      <c r="D17" s="9" t="s">
        <v>1177</v>
      </c>
      <c r="E17" t="s">
        <v>1178</v>
      </c>
      <c r="F17" s="9" t="s">
        <v>1079</v>
      </c>
      <c r="G17" t="s">
        <v>1080</v>
      </c>
      <c r="H17" s="9"/>
    </row>
    <row r="18" spans="4:8" ht="21">
      <c r="D18" s="9" t="s">
        <v>1223</v>
      </c>
      <c r="E18" t="s">
        <v>1220</v>
      </c>
      <c r="F18" s="9"/>
      <c r="H18" s="9"/>
    </row>
    <row r="19" spans="4:8" ht="21">
      <c r="D19" s="9" t="s">
        <v>1262</v>
      </c>
      <c r="E19" t="s">
        <v>1263</v>
      </c>
      <c r="F19" s="9" t="s">
        <v>1231</v>
      </c>
      <c r="H19" s="9"/>
    </row>
    <row r="20" spans="4:8" ht="21">
      <c r="D20" s="9"/>
      <c r="F20" s="9" t="s">
        <v>1310</v>
      </c>
      <c r="G20" t="s">
        <v>1311</v>
      </c>
      <c r="H20" s="9"/>
    </row>
    <row r="21" spans="4:8" ht="21">
      <c r="D21" s="9"/>
      <c r="F21" s="9"/>
      <c r="H21" s="9"/>
    </row>
    <row r="22" spans="4:8" ht="21">
      <c r="D22" s="9"/>
      <c r="F22" s="9"/>
      <c r="H22" s="9"/>
    </row>
    <row r="23" spans="4:8" ht="21">
      <c r="D23" s="9"/>
      <c r="F23" s="9"/>
      <c r="H23" s="9"/>
    </row>
    <row r="24" spans="4:8" ht="21">
      <c r="D24" s="9"/>
      <c r="F24" s="9"/>
      <c r="H24" s="9"/>
    </row>
    <row r="25" spans="4:8" ht="21">
      <c r="D25" s="9"/>
      <c r="F25" s="9"/>
      <c r="H25" s="9"/>
    </row>
    <row r="26" spans="4:8" ht="21">
      <c r="D26" s="9"/>
      <c r="F26" s="9"/>
      <c r="H26" s="9"/>
    </row>
    <row r="27" spans="4:8" ht="21">
      <c r="D27" s="9"/>
      <c r="F27" s="9"/>
      <c r="H27" s="9"/>
    </row>
    <row r="28" spans="4:8" ht="21">
      <c r="D28" s="9"/>
      <c r="F28" s="9"/>
      <c r="H28" s="9"/>
    </row>
    <row r="29" spans="4:8" ht="21">
      <c r="D29" s="9"/>
      <c r="F29" s="9"/>
      <c r="H29" s="9"/>
    </row>
    <row r="30" spans="4:8" ht="21">
      <c r="D30" s="9"/>
      <c r="F30" s="9"/>
      <c r="H30" s="9"/>
    </row>
    <row r="31" spans="4:8" ht="21">
      <c r="D31" s="9"/>
      <c r="F31" s="9"/>
      <c r="H31" s="9"/>
    </row>
    <row r="32" spans="4:8" ht="21">
      <c r="D32" s="9"/>
      <c r="F32" s="9"/>
      <c r="H32" s="9"/>
    </row>
    <row r="33" spans="4:8" ht="21">
      <c r="D33" s="9"/>
      <c r="F33" s="9"/>
      <c r="H33" s="9"/>
    </row>
    <row r="34" spans="4:8" ht="21">
      <c r="D34" s="9"/>
      <c r="F34" s="9"/>
      <c r="H34" s="9"/>
    </row>
    <row r="35" spans="4:8" ht="21">
      <c r="D35" s="9"/>
      <c r="F35" s="9"/>
      <c r="H35" s="9"/>
    </row>
    <row r="36" spans="4:8" ht="21">
      <c r="D36" s="9"/>
      <c r="F36" s="9"/>
      <c r="H36" s="9"/>
    </row>
    <row r="37" spans="4:8" ht="21">
      <c r="D37" s="9"/>
      <c r="F37" s="9"/>
      <c r="H37" s="9"/>
    </row>
    <row r="38" spans="4:8" ht="21">
      <c r="D38" s="9"/>
      <c r="F38" s="9"/>
      <c r="H38" s="9"/>
    </row>
    <row r="39" spans="4:8" ht="21">
      <c r="D39" s="9"/>
      <c r="F39" s="9"/>
      <c r="H39" s="9"/>
    </row>
    <row r="40" spans="4:8" ht="21">
      <c r="D40" s="9"/>
      <c r="F40" s="9"/>
      <c r="H40" s="9"/>
    </row>
    <row r="41" spans="4:8" ht="21">
      <c r="D41" s="9"/>
      <c r="F41" s="9"/>
      <c r="H41" s="9"/>
    </row>
    <row r="42" spans="4:8" ht="21">
      <c r="D42" s="9"/>
      <c r="F42" s="9"/>
      <c r="H42" s="9"/>
    </row>
    <row r="43" spans="4:8" ht="21">
      <c r="D43" s="9"/>
      <c r="F43" s="9"/>
      <c r="H43" s="9"/>
    </row>
    <row r="44" spans="4:8" ht="21">
      <c r="D44" s="9"/>
      <c r="F44" s="9"/>
      <c r="H44" s="9"/>
    </row>
    <row r="45" spans="4:8" ht="21">
      <c r="D45" s="9"/>
      <c r="F45" s="9"/>
      <c r="H45" s="9"/>
    </row>
    <row r="46" spans="4:8" ht="21">
      <c r="D46" s="9"/>
      <c r="F46" s="9"/>
      <c r="H46" s="9"/>
    </row>
    <row r="47" spans="4:8" ht="21">
      <c r="D47" s="9"/>
      <c r="F47" s="9"/>
      <c r="H47" s="9"/>
    </row>
    <row r="48" spans="4:8" ht="21">
      <c r="D48" s="9"/>
      <c r="F48" s="9"/>
      <c r="H48" s="9"/>
    </row>
    <row r="49" spans="4:8" ht="21">
      <c r="D49" s="9"/>
      <c r="F49" s="9"/>
      <c r="H49" s="9"/>
    </row>
    <row r="50" spans="4:8" ht="21">
      <c r="D50" s="9"/>
      <c r="F50" s="9"/>
      <c r="H50" s="9"/>
    </row>
    <row r="51" spans="4:8" ht="21">
      <c r="D51" s="9"/>
      <c r="F51" s="9"/>
      <c r="H51" s="9"/>
    </row>
    <row r="52" spans="4:8" ht="21">
      <c r="D52" s="9"/>
      <c r="F52" s="9"/>
      <c r="H52" s="9"/>
    </row>
    <row r="53" spans="4:8" ht="21">
      <c r="D53" s="9"/>
      <c r="F53" s="9"/>
      <c r="H53" s="9"/>
    </row>
    <row r="54" spans="4:8" ht="21">
      <c r="D54" s="9"/>
      <c r="F54" s="9"/>
      <c r="H54" s="9"/>
    </row>
    <row r="55" spans="4:8" ht="21">
      <c r="D55" s="9"/>
      <c r="F55" s="9"/>
      <c r="H55" s="9"/>
    </row>
    <row r="56" spans="4:8" ht="21">
      <c r="D56" s="9"/>
      <c r="F56" s="9"/>
      <c r="H56" s="9"/>
    </row>
    <row r="57" spans="4:8" ht="21">
      <c r="D57" s="9"/>
      <c r="F57" s="9"/>
      <c r="H57" s="9"/>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E5AFC-34E9-431B-9A5A-EC11AB22E43E}">
  <sheetPr codeName="Sheet5"/>
  <dimension ref="A1:F24"/>
  <sheetViews>
    <sheetView showGridLines="0" topLeftCell="B3" zoomScale="101" zoomScaleNormal="101" workbookViewId="0">
      <selection activeCell="N4" sqref="N4"/>
    </sheetView>
  </sheetViews>
  <sheetFormatPr defaultColWidth="9" defaultRowHeight="15"/>
  <cols>
    <col min="1" max="1" width="53.7109375" style="22" hidden="1" customWidth="1"/>
    <col min="2" max="2" width="46.5703125" style="22" customWidth="1"/>
    <col min="3" max="3" width="16.140625" style="22" customWidth="1"/>
    <col min="4" max="4" width="33.85546875" style="22" customWidth="1"/>
    <col min="5" max="5" width="22.28515625" style="22" customWidth="1"/>
    <col min="6" max="6" width="43.42578125" style="22" customWidth="1"/>
    <col min="7" max="16384" width="9" style="22"/>
  </cols>
  <sheetData>
    <row r="1" spans="1:6">
      <c r="A1" s="22" t="s">
        <v>794</v>
      </c>
    </row>
    <row r="2" spans="1:6">
      <c r="A2" s="22" t="s">
        <v>795</v>
      </c>
    </row>
    <row r="3" spans="1:6" ht="66.75" customHeight="1">
      <c r="A3" s="23" t="s">
        <v>801</v>
      </c>
    </row>
    <row r="4" spans="1:6" ht="33" customHeight="1">
      <c r="C4" s="43" t="s">
        <v>810</v>
      </c>
      <c r="D4" s="44"/>
      <c r="E4" s="44"/>
      <c r="F4" s="44"/>
    </row>
    <row r="5" spans="1:6" ht="10.5" customHeight="1">
      <c r="C5" s="24"/>
      <c r="D5" s="24"/>
      <c r="E5" s="24"/>
      <c r="F5" s="24"/>
    </row>
    <row r="6" spans="1:6" ht="28.5" customHeight="1">
      <c r="C6" s="25" t="s">
        <v>807</v>
      </c>
      <c r="D6" s="26"/>
      <c r="E6" s="32" t="s">
        <v>1319</v>
      </c>
      <c r="F6" s="26"/>
    </row>
    <row r="7" spans="1:6" ht="15.75">
      <c r="C7" s="26"/>
      <c r="D7" s="26"/>
      <c r="E7" s="26"/>
      <c r="F7" s="26"/>
    </row>
    <row r="8" spans="1:6" ht="15" customHeight="1">
      <c r="A8" s="22" t="s">
        <v>102</v>
      </c>
      <c r="C8" s="27" t="str">
        <f>E6 &amp; ". " &amp; A9</f>
        <v>anhe. (m.)</v>
      </c>
      <c r="D8" s="28" t="str">
        <f>A8</f>
        <v>Alma, identidad</v>
      </c>
      <c r="E8" s="26"/>
      <c r="F8" s="26"/>
    </row>
    <row r="9" spans="1:6" ht="15.75">
      <c r="A9" s="22" t="s">
        <v>805</v>
      </c>
      <c r="C9" s="26"/>
      <c r="D9" s="26"/>
      <c r="E9" s="26"/>
      <c r="F9" s="26"/>
    </row>
    <row r="10" spans="1:6" ht="20.25" customHeight="1">
      <c r="A10" s="23" t="s">
        <v>1320</v>
      </c>
      <c r="C10" s="26" t="str">
        <f>IFERROR(LEFT(A10, FIND("2.", A10) - 1), A10)</f>
        <v xml:space="preserve">1. ψυχη. Alma, presencia incorpórea de un dráur, que se cree inmortal y que se cultiva en Líthanir para bajar a Úthanir después de la muerte del cuerpo. Representada en el pecho.  </v>
      </c>
      <c r="D10" s="26"/>
      <c r="E10" s="26"/>
      <c r="F10" s="26"/>
    </row>
    <row r="11" spans="1:6" ht="18.75" customHeight="1">
      <c r="A11" s="23" t="s">
        <v>1321</v>
      </c>
      <c r="C11" s="26"/>
      <c r="D11" s="26"/>
      <c r="E11" s="26"/>
      <c r="F11" s="26"/>
    </row>
    <row r="12" spans="1:6" ht="15.4" customHeight="1">
      <c r="A12" s="29" t="s">
        <v>73</v>
      </c>
      <c r="C12" s="26"/>
      <c r="D12" s="30" t="s">
        <v>808</v>
      </c>
      <c r="E12" s="46" t="str">
        <f>IFERROR(LEFT(A11, FIND("2.", A11) - 1), A11)</f>
        <v xml:space="preserve">1. Állá Telínie, 3. "A, Ethredlinur anhé" (Oh, de Ethredlin alma). </v>
      </c>
      <c r="F12" s="46"/>
    </row>
    <row r="13" spans="1:6" ht="24.4" customHeight="1">
      <c r="C13" s="26"/>
      <c r="D13" s="26"/>
      <c r="E13" s="46"/>
      <c r="F13" s="46"/>
    </row>
    <row r="14" spans="1:6" ht="19.899999999999999" customHeight="1">
      <c r="A14" s="23"/>
      <c r="C14" s="26" t="str">
        <f>IFERROR(MID(A10, FIND("2.", A10), LEN(A10)), "")</f>
        <v xml:space="preserve">2. Identidad de un dráur, individualidad. El "ser".
</v>
      </c>
      <c r="D14" s="26"/>
      <c r="E14" s="46"/>
      <c r="F14" s="46"/>
    </row>
    <row r="15" spans="1:6" ht="13.15" customHeight="1">
      <c r="A15" s="23"/>
      <c r="C15" s="26"/>
      <c r="D15" s="26"/>
      <c r="E15" s="46"/>
      <c r="F15" s="46"/>
    </row>
    <row r="16" spans="1:6" ht="15.75">
      <c r="C16" s="26"/>
      <c r="D16" s="30" t="s">
        <v>808</v>
      </c>
      <c r="E16" s="45" t="str">
        <f>IFERROR(MID(A11, FIND("2.", A11), LEN(A11)), "")</f>
        <v xml:space="preserve">2. Dra. VII.274-275 "bannisulth/linagaí lailet anheé" (rindiendo libremente su propia alma)
</v>
      </c>
      <c r="F16" s="45"/>
    </row>
    <row r="17" spans="3:6" ht="15.75">
      <c r="C17" s="26"/>
      <c r="D17" s="26"/>
      <c r="E17" s="45"/>
      <c r="F17" s="45"/>
    </row>
    <row r="18" spans="3:6" ht="15.75">
      <c r="C18" s="30" t="s">
        <v>16</v>
      </c>
      <c r="D18" s="26"/>
      <c r="E18" s="45"/>
      <c r="F18" s="45"/>
    </row>
    <row r="19" spans="3:6" ht="15.75">
      <c r="C19" s="26"/>
      <c r="D19" s="26"/>
      <c r="E19" s="26"/>
      <c r="F19" s="26"/>
    </row>
    <row r="20" spans="3:6" ht="15.75" customHeight="1">
      <c r="C20" s="47" t="str">
        <f>A12</f>
        <v>(cla.)</v>
      </c>
      <c r="D20" s="47"/>
      <c r="E20" s="47"/>
      <c r="F20" s="47"/>
    </row>
    <row r="21" spans="3:6" ht="15.75" customHeight="1">
      <c r="C21" s="47"/>
      <c r="D21" s="47"/>
      <c r="E21" s="47"/>
      <c r="F21" s="47"/>
    </row>
    <row r="22" spans="3:6" ht="15.75">
      <c r="C22" s="26"/>
      <c r="D22" s="26"/>
      <c r="E22" s="26"/>
      <c r="F22" s="26"/>
    </row>
    <row r="23" spans="3:6" ht="15.75">
      <c r="C23" s="26"/>
      <c r="D23" s="26"/>
      <c r="E23" s="26"/>
      <c r="F23" s="26"/>
    </row>
    <row r="24" spans="3:6" ht="15.75">
      <c r="C24" s="31"/>
      <c r="D24" s="31"/>
      <c r="E24" s="31"/>
      <c r="F24" s="31"/>
    </row>
  </sheetData>
  <mergeCells count="4">
    <mergeCell ref="C4:F4"/>
    <mergeCell ref="E16:F18"/>
    <mergeCell ref="E12:F15"/>
    <mergeCell ref="C20:F21"/>
  </mergeCells>
  <conditionalFormatting sqref="C4:F4">
    <cfRule type="colorScale" priority="2">
      <colorScale>
        <cfvo type="min"/>
        <cfvo type="percentile" val="50"/>
        <cfvo type="max"/>
        <color theme="6" tint="-0.249977111117893"/>
        <color theme="6" tint="0.59999389629810485"/>
        <color theme="2"/>
      </colorScale>
    </cfRule>
  </conditionalFormatting>
  <conditionalFormatting sqref="C4:H11 C19:H19 C16:E16 C17:D18 C12:E12 C13:D15 G12:H18 C22:H23 C20 G20:H21">
    <cfRule type="colorScale" priority="1">
      <colorScale>
        <cfvo type="min"/>
        <cfvo type="percentile" val="50"/>
        <cfvo type="max"/>
        <color theme="6" tint="-0.249977111117893"/>
        <color theme="5" tint="0.39997558519241921"/>
        <color theme="2"/>
      </colorScale>
    </cfRule>
  </conditionalFormatting>
  <pageMargins left="0.7" right="0.7" top="0.75" bottom="0.75"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earchDictionary">
                <anchor moveWithCells="1" sizeWithCells="1">
                  <from>
                    <xdr:col>5</xdr:col>
                    <xdr:colOff>9525</xdr:colOff>
                    <xdr:row>5</xdr:row>
                    <xdr:rowOff>9525</xdr:rowOff>
                  </from>
                  <to>
                    <xdr:col>5</xdr:col>
                    <xdr:colOff>923925</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FF570-1F20-40B9-9EEC-81122EA9D56C}">
  <sheetPr codeName="Sheet6"/>
  <dimension ref="A1"/>
  <sheetViews>
    <sheetView workbookViewId="0">
      <selection activeCell="G37" sqref="G37"/>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7DC08-6668-4D54-8EED-F55E2D81E0A2}">
  <sheetPr codeName="Sheet4"/>
  <dimension ref="A1:F24"/>
  <sheetViews>
    <sheetView topLeftCell="B3" workbookViewId="0">
      <selection activeCell="K4" sqref="K4"/>
    </sheetView>
  </sheetViews>
  <sheetFormatPr defaultRowHeight="15"/>
  <cols>
    <col min="1" max="1" width="53.7109375" hidden="1" customWidth="1"/>
    <col min="2" max="2" width="46.5703125" customWidth="1"/>
    <col min="3" max="3" width="16.140625" customWidth="1"/>
    <col min="4" max="4" width="33.85546875" customWidth="1"/>
    <col min="5" max="5" width="22.28515625" customWidth="1"/>
    <col min="6" max="6" width="43.42578125" customWidth="1"/>
  </cols>
  <sheetData>
    <row r="1" spans="1:6">
      <c r="A1" t="s">
        <v>794</v>
      </c>
    </row>
    <row r="2" spans="1:6">
      <c r="A2" t="s">
        <v>795</v>
      </c>
    </row>
    <row r="3" spans="1:6" ht="66.75" customHeight="1">
      <c r="A3" s="10" t="s">
        <v>801</v>
      </c>
    </row>
    <row r="4" spans="1:6" ht="33" customHeight="1">
      <c r="C4" s="48" t="s">
        <v>806</v>
      </c>
      <c r="D4" s="49"/>
      <c r="E4" s="49"/>
      <c r="F4" s="49"/>
    </row>
    <row r="5" spans="1:6" ht="10.5" customHeight="1">
      <c r="C5" s="12"/>
      <c r="D5" s="12"/>
      <c r="E5" s="12"/>
      <c r="F5" s="12"/>
    </row>
    <row r="6" spans="1:6" ht="28.5" customHeight="1">
      <c r="C6" s="13" t="s">
        <v>807</v>
      </c>
      <c r="D6" s="14"/>
      <c r="E6" s="21" t="s">
        <v>809</v>
      </c>
      <c r="F6" s="14"/>
    </row>
    <row r="7" spans="1:6" ht="15.75">
      <c r="C7" s="14"/>
      <c r="D7" s="14"/>
      <c r="E7" s="14"/>
      <c r="F7" s="14"/>
    </row>
    <row r="8" spans="1:6" ht="15" customHeight="1">
      <c r="A8" t="s">
        <v>601</v>
      </c>
      <c r="C8" s="15" t="str">
        <f>E6 &amp; ". " &amp; A9</f>
        <v>cinco. (m.)</v>
      </c>
      <c r="D8" s="16" t="str">
        <f>A8</f>
        <v>Thilé</v>
      </c>
      <c r="E8" s="14"/>
      <c r="F8" s="14"/>
    </row>
    <row r="9" spans="1:6" ht="15.75">
      <c r="A9" t="s">
        <v>805</v>
      </c>
      <c r="C9" s="14"/>
      <c r="D9" s="14"/>
      <c r="E9" s="14"/>
      <c r="F9" s="14"/>
    </row>
    <row r="10" spans="1:6" ht="20.25" customHeight="1">
      <c r="A10" s="10" t="s">
        <v>73</v>
      </c>
      <c r="C10" s="14" t="str">
        <f>IFERROR(LEFT(A10, FIND("2.", A10) - 1), A10)</f>
        <v>(cla.)</v>
      </c>
      <c r="D10" s="14"/>
      <c r="E10" s="14"/>
      <c r="F10" s="14"/>
    </row>
    <row r="11" spans="1:6" ht="18.75" customHeight="1">
      <c r="A11" s="10"/>
      <c r="C11" s="14"/>
      <c r="D11" s="14"/>
      <c r="E11" s="14"/>
      <c r="F11" s="14"/>
    </row>
    <row r="12" spans="1:6" ht="15.75">
      <c r="A12" s="11"/>
      <c r="C12" s="14"/>
      <c r="D12" s="17" t="s">
        <v>808</v>
      </c>
      <c r="E12" s="19">
        <f>IFERROR(LEFT(A11, FIND("2.", A11) - 1), A11)</f>
        <v>0</v>
      </c>
      <c r="F12" s="14"/>
    </row>
    <row r="13" spans="1:6" ht="15.75">
      <c r="C13" s="14"/>
      <c r="D13" s="14"/>
      <c r="E13" s="14"/>
      <c r="F13" s="14"/>
    </row>
    <row r="14" spans="1:6" ht="15.75">
      <c r="C14" s="14" t="str">
        <f>IFERROR(MID(A10, FIND("2.", A10), LEN(A10)), "")</f>
        <v/>
      </c>
      <c r="D14" s="14"/>
      <c r="E14" s="14"/>
      <c r="F14" s="14"/>
    </row>
    <row r="15" spans="1:6" ht="15.75">
      <c r="C15" s="14"/>
      <c r="D15" s="14"/>
      <c r="E15" s="14"/>
      <c r="F15" s="14"/>
    </row>
    <row r="16" spans="1:6" ht="15.75">
      <c r="C16" s="14"/>
      <c r="D16" s="17" t="s">
        <v>808</v>
      </c>
      <c r="E16" s="20" t="str">
        <f>IFERROR(MID(A11, FIND("2.", A11), LEN(A11)), "")</f>
        <v/>
      </c>
      <c r="F16" s="14"/>
    </row>
    <row r="17" spans="3:6" ht="15.75">
      <c r="C17" s="14"/>
      <c r="D17" s="14"/>
      <c r="E17" s="14"/>
      <c r="F17" s="14"/>
    </row>
    <row r="18" spans="3:6" ht="15.75">
      <c r="C18" s="14" t="s">
        <v>16</v>
      </c>
      <c r="D18" s="14"/>
      <c r="E18" s="14"/>
      <c r="F18" s="14"/>
    </row>
    <row r="19" spans="3:6" ht="15.75">
      <c r="C19" s="14"/>
      <c r="D19" s="14"/>
      <c r="E19" s="14"/>
      <c r="F19" s="14"/>
    </row>
    <row r="20" spans="3:6" ht="15.75">
      <c r="C20" s="14">
        <f>A12</f>
        <v>0</v>
      </c>
      <c r="D20" s="14"/>
      <c r="E20" s="14"/>
      <c r="F20" s="14"/>
    </row>
    <row r="21" spans="3:6" ht="15.75">
      <c r="C21" s="14"/>
      <c r="D21" s="14"/>
      <c r="E21" s="14"/>
      <c r="F21" s="14"/>
    </row>
    <row r="22" spans="3:6" ht="15.75">
      <c r="C22" s="14"/>
      <c r="D22" s="14"/>
      <c r="E22" s="14"/>
      <c r="F22" s="14"/>
    </row>
    <row r="23" spans="3:6" ht="15.75">
      <c r="C23" s="14"/>
      <c r="D23" s="14"/>
      <c r="E23" s="14"/>
      <c r="F23" s="14"/>
    </row>
    <row r="24" spans="3:6" ht="15.75">
      <c r="C24" s="18"/>
      <c r="D24" s="18"/>
      <c r="E24" s="18"/>
      <c r="F24" s="18"/>
    </row>
  </sheetData>
  <mergeCells count="1">
    <mergeCell ref="C4:F4"/>
  </mergeCells>
  <conditionalFormatting sqref="C4:F4">
    <cfRule type="colorScale" priority="2">
      <colorScale>
        <cfvo type="min"/>
        <cfvo type="percentile" val="50"/>
        <cfvo type="max"/>
        <color theme="6" tint="-0.249977111117893"/>
        <color theme="6" tint="0.59999389629810485"/>
        <color theme="2"/>
      </colorScale>
    </cfRule>
  </conditionalFormatting>
  <conditionalFormatting sqref="C4:H23">
    <cfRule type="colorScale" priority="1">
      <colorScale>
        <cfvo type="min"/>
        <cfvo type="percentile" val="50"/>
        <cfvo type="max"/>
        <color theme="6" tint="-0.249977111117893"/>
        <color theme="5" tint="0.39997558519241921"/>
        <color theme="2"/>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earchDictionaryesp">
                <anchor moveWithCells="1" sizeWithCells="1">
                  <from>
                    <xdr:col>5</xdr:col>
                    <xdr:colOff>9525</xdr:colOff>
                    <xdr:row>5</xdr:row>
                    <xdr:rowOff>9525</xdr:rowOff>
                  </from>
                  <to>
                    <xdr:col>5</xdr:col>
                    <xdr:colOff>790575</xdr:colOff>
                    <xdr:row>5</xdr:row>
                    <xdr:rowOff>352425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cca8e2d-b9ea-41cb-9287-b969b3d201a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1B821DB5571C24390AB787671913A8C" ma:contentTypeVersion="15" ma:contentTypeDescription="Create a new document." ma:contentTypeScope="" ma:versionID="6525cf0ddbceab3dae59860a6e8771b8">
  <xsd:schema xmlns:xsd="http://www.w3.org/2001/XMLSchema" xmlns:xs="http://www.w3.org/2001/XMLSchema" xmlns:p="http://schemas.microsoft.com/office/2006/metadata/properties" xmlns:ns3="ccca8e2d-b9ea-41cb-9287-b969b3d201ae" xmlns:ns4="e37bab65-ee72-4238-9b59-0900b73adec7" targetNamespace="http://schemas.microsoft.com/office/2006/metadata/properties" ma:root="true" ma:fieldsID="8a5dda9dfd8cfe2633a96f58d834dcbd" ns3:_="" ns4:_="">
    <xsd:import namespace="ccca8e2d-b9ea-41cb-9287-b969b3d201ae"/>
    <xsd:import namespace="e37bab65-ee72-4238-9b59-0900b73adec7"/>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_activity"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ca8e2d-b9ea-41cb-9287-b969b3d201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_activity" ma:index="11" nillable="true" ma:displayName="_activity" ma:hidden="true" ma:internalName="_activity">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7bab65-ee72-4238-9b59-0900b73adec7"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3C66DE7-9FDE-473D-8305-92DE91DC3261}">
  <ds:schemaRefs>
    <ds:schemaRef ds:uri="http://schemas.microsoft.com/sharepoint/v3/contenttype/forms"/>
  </ds:schemaRefs>
</ds:datastoreItem>
</file>

<file path=customXml/itemProps2.xml><?xml version="1.0" encoding="utf-8"?>
<ds:datastoreItem xmlns:ds="http://schemas.openxmlformats.org/officeDocument/2006/customXml" ds:itemID="{25B07567-632F-4312-BE88-85770DC028AA}">
  <ds:schemaRefs>
    <ds:schemaRef ds:uri="http://schemas.microsoft.com/office/2006/documentManagement/types"/>
    <ds:schemaRef ds:uri="http://www.w3.org/XML/1998/namespace"/>
    <ds:schemaRef ds:uri="e37bab65-ee72-4238-9b59-0900b73adec7"/>
    <ds:schemaRef ds:uri="http://purl.org/dc/terms/"/>
    <ds:schemaRef ds:uri="http://schemas.microsoft.com/office/2006/metadata/properties"/>
    <ds:schemaRef ds:uri="http://schemas.microsoft.com/office/infopath/2007/PartnerControls"/>
    <ds:schemaRef ds:uri="http://purl.org/dc/dcmitype/"/>
    <ds:schemaRef ds:uri="http://purl.org/dc/elements/1.1/"/>
    <ds:schemaRef ds:uri="ccca8e2d-b9ea-41cb-9287-b969b3d201ae"/>
    <ds:schemaRef ds:uri="http://schemas.openxmlformats.org/package/2006/metadata/core-properties"/>
  </ds:schemaRefs>
</ds:datastoreItem>
</file>

<file path=customXml/itemProps3.xml><?xml version="1.0" encoding="utf-8"?>
<ds:datastoreItem xmlns:ds="http://schemas.openxmlformats.org/officeDocument/2006/customXml" ds:itemID="{E4208235-4AB8-4200-8AFB-C32E2837D3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ca8e2d-b9ea-41cb-9287-b969b3d201ae"/>
    <ds:schemaRef ds:uri="e37bab65-ee72-4238-9b59-0900b73ade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Enciclopedia</vt:lpstr>
      <vt:lpstr>Diccionario</vt:lpstr>
      <vt:lpstr>Texts</vt:lpstr>
      <vt:lpstr>Etimología</vt:lpstr>
      <vt:lpstr>UI búsqueda</vt:lpstr>
      <vt:lpstr>UI búsqueda esp</vt:lpstr>
      <vt:lpstr>UI esp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Albert</dc:creator>
  <cp:keywords/>
  <dc:description/>
  <cp:lastModifiedBy>Albert Surinach I Campos</cp:lastModifiedBy>
  <cp:revision/>
  <cp:lastPrinted>2024-10-25T11:06:13Z</cp:lastPrinted>
  <dcterms:created xsi:type="dcterms:W3CDTF">2024-03-08T18:54:44Z</dcterms:created>
  <dcterms:modified xsi:type="dcterms:W3CDTF">2024-10-25T12:02:31Z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0x010100D1B821DB5571C24390AB787671913A8C</vt:lpwstr>
  </property>
</Properties>
</file>